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Roster" sheetId="4" state="visible" r:id="rId4"/>
    <sheet xmlns:r="http://schemas.openxmlformats.org/officeDocument/2006/relationships" name="Pacing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Gradebook" sheetId="7" state="visible" r:id="rId7"/>
    <sheet xmlns:r="http://schemas.openxmlformats.org/officeDocument/2006/relationships" name="Standings" sheetId="8" state="visible" r:id="rId8"/>
    <sheet xmlns:r="http://schemas.openxmlformats.org/officeDocument/2006/relationships" name="Student Report" sheetId="9" state="visible" r:id="rId9"/>
  </sheets>
  <definedNames>
    <definedName name="_xlnm.Print_Area" localSheetId="8">'Student Report'!$A$1:$H$74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/d"/>
    <numFmt numFmtId="166" formatCode="0;-0;&quot;&quot;"/>
    <numFmt numFmtId="167" formatCode="&quot;yes&quot;;;&quot;-&quot;"/>
    <numFmt numFmtId="168" formatCode="&quot;due&quot;;;&quot;&quot;"/>
    <numFmt numFmtId="169" formatCode="0.0%"/>
  </numFmts>
  <fonts count="3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DCEBEF"/>
      <sz val="9"/>
    </font>
    <font>
      <name val="Arial"/>
      <b val="1"/>
      <color rgb="001E2B33"/>
      <sz val="13"/>
    </font>
    <font>
      <name val="Arial"/>
      <color rgb="001E2B33"/>
      <sz val="11"/>
    </font>
    <font>
      <name val="Arial"/>
      <color rgb="005E6C75"/>
      <sz val="9"/>
    </font>
    <font>
      <name val="Arial"/>
      <b val="1"/>
      <color rgb="001E2B33"/>
      <sz val="10"/>
    </font>
    <font>
      <name val="Arial"/>
      <color rgb="001E2B33"/>
      <sz val="10"/>
    </font>
    <font>
      <name val="Arial"/>
      <b val="1"/>
      <color rgb="00FFFFFF"/>
      <sz val="10"/>
    </font>
    <font>
      <name val="Arial"/>
      <i val="1"/>
      <color rgb="005E6C75"/>
      <sz val="9"/>
    </font>
    <font>
      <name val="Arial"/>
      <b val="1"/>
      <color rgb="001E2B33"/>
      <sz val="11"/>
    </font>
    <font>
      <name val="Arial"/>
      <b val="1"/>
      <color rgb="005E6C75"/>
      <sz val="9"/>
    </font>
    <font>
      <name val="Arial"/>
      <b val="1"/>
      <color rgb="00C8501A"/>
      <sz val="10"/>
    </font>
    <font>
      <name val="Arial"/>
      <b val="1"/>
      <color rgb="00FFFFFF"/>
      <sz val="9"/>
    </font>
    <font>
      <name val="Arial"/>
      <b val="1"/>
      <color rgb="005E6C75"/>
      <sz val="8"/>
    </font>
    <font>
      <name val="Arial"/>
      <b val="1"/>
      <color rgb="00FFFFFF"/>
      <sz val="7"/>
    </font>
    <font>
      <name val="Arial"/>
      <color rgb="001E2B33"/>
      <sz val="9"/>
    </font>
    <font>
      <name val="Arial"/>
      <color rgb="001E2B33"/>
      <sz val="8"/>
    </font>
    <font>
      <name val="Arial"/>
      <color rgb="005E6C75"/>
      <sz val="8"/>
    </font>
    <font>
      <name val="Arial"/>
      <b val="1"/>
      <color rgb="00FFFFFF"/>
      <sz val="16"/>
    </font>
    <font>
      <name val="Arial"/>
      <color rgb="005E6C75"/>
      <sz val="7"/>
    </font>
    <font>
      <name val="Arial"/>
      <b val="1"/>
      <color rgb="001E2B33"/>
      <sz val="8"/>
    </font>
    <font>
      <name val="Arial"/>
      <color rgb="005E6C75"/>
      <sz val="6"/>
    </font>
    <font>
      <name val="Arial"/>
      <color rgb="00C8501A"/>
      <sz val="7"/>
    </font>
    <font>
      <name val="Arial"/>
      <b val="1"/>
      <color rgb="00FFFFFF"/>
      <sz val="8"/>
    </font>
    <font>
      <name val="Arial"/>
      <color rgb="00DCEBEF"/>
      <sz val="10"/>
    </font>
    <font>
      <name val="Arial"/>
      <b val="1"/>
      <color rgb="005E6C75"/>
      <sz val="10"/>
    </font>
    <font>
      <name val="Arial"/>
      <b val="1"/>
      <color rgb="0017495A"/>
      <sz val="26"/>
    </font>
    <font>
      <name val="Arial"/>
      <b val="1"/>
      <color rgb="009A2A1C"/>
      <sz val="26"/>
    </font>
    <font>
      <name val="Arial"/>
      <color rgb="00FFFFFF"/>
      <sz val="7"/>
    </font>
    <font>
      <name val="Arial"/>
      <color rgb="00FFFFFF"/>
      <sz val="8"/>
    </font>
  </fonts>
  <fills count="8">
    <fill>
      <patternFill/>
    </fill>
    <fill>
      <patternFill patternType="gray125"/>
    </fill>
    <fill>
      <patternFill patternType="solid">
        <fgColor rgb="0017495A"/>
      </patternFill>
    </fill>
    <fill>
      <patternFill patternType="solid">
        <fgColor rgb="00FFFFFF"/>
      </patternFill>
    </fill>
    <fill>
      <patternFill patternType="solid">
        <fgColor rgb="00F1F3F4"/>
      </patternFill>
    </fill>
    <fill>
      <patternFill patternType="solid">
        <fgColor rgb="00D6E6EA"/>
      </patternFill>
    </fill>
    <fill>
      <patternFill patternType="solid">
        <fgColor rgb="00EEF5F6"/>
      </patternFill>
    </fill>
    <fill>
      <patternFill patternType="solid">
        <fgColor rgb="00FFF3C4"/>
      </patternFill>
    </fill>
  </fills>
  <borders count="7">
    <border>
      <left/>
      <right/>
      <top/>
      <bottom/>
      <diagonal/>
    </border>
    <border>
      <left style="thin">
        <color rgb="00C5D0D4"/>
      </left>
      <right style="thin">
        <color rgb="00C5D0D4"/>
      </right>
      <top style="thin">
        <color rgb="00C5D0D4"/>
      </top>
      <bottom style="thin">
        <color rgb="00C5D0D4"/>
      </bottom>
    </border>
    <border>
      <left style="hair">
        <color rgb="00D9E1E4"/>
      </left>
      <right style="hair">
        <color rgb="00D9E1E4"/>
      </right>
      <top style="thin">
        <color rgb="00C5D0D4"/>
      </top>
      <bottom style="thin">
        <color rgb="00C5D0D4"/>
      </bottom>
    </border>
    <border>
      <left/>
      <right/>
      <top style="thin">
        <color rgb="00C5D0D4"/>
      </top>
      <bottom/>
      <diagonal/>
    </border>
    <border>
      <left/>
      <right style="thin">
        <color rgb="00C5D0D4"/>
      </right>
      <top style="thin">
        <color rgb="00C5D0D4"/>
      </top>
      <bottom/>
      <diagonal/>
    </border>
    <border>
      <left/>
      <right/>
      <top style="thin">
        <color rgb="00C5D0D4"/>
      </top>
      <bottom style="thin">
        <color rgb="00C5D0D4"/>
      </bottom>
      <diagonal/>
    </border>
    <border>
      <left/>
      <right style="thin">
        <color rgb="00C5D0D4"/>
      </right>
      <top style="thin">
        <color rgb="00C5D0D4"/>
      </top>
      <bottom style="thin">
        <color rgb="00C5D0D4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5" fillId="2" borderId="0" pivotButton="0" quotePrefix="0" xfId="0"/>
    <xf numFmtId="0" fontId="26" fillId="6" borderId="0" pivotButton="0" quotePrefix="0" xfId="0"/>
    <xf numFmtId="0" fontId="0" fillId="6" borderId="0" pivotButton="0" quotePrefix="0" xfId="0"/>
    <xf numFmtId="169" fontId="27" fillId="6" borderId="0" pivotButton="0" quotePrefix="0" xfId="0"/>
    <xf numFmtId="9" fontId="27" fillId="6" borderId="0" pivotButton="0" quotePrefix="0" xfId="0"/>
    <xf numFmtId="1" fontId="28" fillId="6" borderId="0" pivotButton="0" quotePrefix="0" xfId="0"/>
    <xf numFmtId="0" fontId="5" fillId="6" borderId="0" pivotButton="0" quotePrefix="0" xfId="0"/>
    <xf numFmtId="0" fontId="10" fillId="0" borderId="0" pivotButton="0" quotePrefix="0" xfId="0"/>
    <xf numFmtId="0" fontId="14" fillId="0" borderId="0" pivotButton="0" quotePrefix="0" xfId="0"/>
    <xf numFmtId="0" fontId="13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6" fillId="4" borderId="1" pivotButton="0" quotePrefix="0" xfId="0"/>
    <xf numFmtId="9" fontId="16" fillId="4" borderId="1" applyAlignment="1" pivotButton="0" quotePrefix="0" xfId="0">
      <alignment horizontal="center"/>
    </xf>
    <xf numFmtId="0" fontId="29" fillId="0" borderId="0" pivotButton="0" quotePrefix="0" xfId="0"/>
    <xf numFmtId="0" fontId="6" fillId="0" borderId="0" pivotButton="0" quotePrefix="0" xfId="0"/>
    <xf numFmtId="0" fontId="7" fillId="3" borderId="1" pivotButton="0" quotePrefix="0" xfId="0"/>
    <xf numFmtId="164" fontId="7" fillId="3" borderId="1" pivotButton="0" quotePrefix="0" xfId="0"/>
    <xf numFmtId="1" fontId="7" fillId="3" borderId="1" pivotButton="0" quotePrefix="0" xfId="0"/>
    <xf numFmtId="0" fontId="8" fillId="2" borderId="1" applyAlignment="1" pivotButton="0" quotePrefix="0" xfId="0">
      <alignment horizontal="center" vertical="center" wrapText="1"/>
    </xf>
    <xf numFmtId="9" fontId="7" fillId="3" borderId="1" pivotButton="0" quotePrefix="0" xfId="0"/>
    <xf numFmtId="9" fontId="6" fillId="4" borderId="1" pivotButton="0" quotePrefix="0" xfId="0"/>
    <xf numFmtId="0" fontId="9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4" fillId="0" borderId="0" applyAlignment="1" pivotButton="0" quotePrefix="0" xfId="0">
      <alignment horizontal="center"/>
    </xf>
    <xf numFmtId="165" fontId="15" fillId="2" borderId="1" applyAlignment="1" pivotButton="0" quotePrefix="0" xfId="0">
      <alignment horizontal="center" textRotation="90"/>
    </xf>
    <xf numFmtId="165" fontId="7" fillId="4" borderId="1" pivotButton="0" quotePrefix="0" xfId="0"/>
    <xf numFmtId="1" fontId="7" fillId="4" borderId="1" applyAlignment="1" pivotButton="0" quotePrefix="0" xfId="0">
      <alignment horizontal="center"/>
    </xf>
    <xf numFmtId="0" fontId="0" fillId="0" borderId="2" pivotButton="0" quotePrefix="0" xfId="0"/>
    <xf numFmtId="166" fontId="16" fillId="4" borderId="1" applyAlignment="1" pivotButton="0" quotePrefix="0" xfId="0">
      <alignment horizontal="center"/>
    </xf>
    <xf numFmtId="166" fontId="17" fillId="4" borderId="1" applyAlignment="1" pivotButton="0" quotePrefix="0" xfId="0">
      <alignment horizontal="center"/>
    </xf>
    <xf numFmtId="9" fontId="18" fillId="0" borderId="0" pivotButton="0" quotePrefix="0" xfId="0"/>
    <xf numFmtId="167" fontId="7" fillId="4" borderId="1" applyAlignment="1" pivotButton="0" quotePrefix="0" xfId="0">
      <alignment horizontal="center"/>
    </xf>
    <xf numFmtId="9" fontId="7" fillId="4" borderId="1" applyAlignment="1" pivotButton="0" quotePrefix="0" xfId="0">
      <alignment horizontal="center"/>
    </xf>
    <xf numFmtId="166" fontId="7" fillId="4" borderId="1" applyAlignment="1" pivotButton="0" quotePrefix="0" xfId="0">
      <alignment horizontal="center"/>
    </xf>
    <xf numFmtId="0" fontId="19" fillId="2" borderId="0" pivotButton="0" quotePrefix="0" xfId="0"/>
    <xf numFmtId="0" fontId="14" fillId="0" borderId="0" applyAlignment="1" pivotButton="0" quotePrefix="0" xfId="0">
      <alignment horizontal="right"/>
    </xf>
    <xf numFmtId="9" fontId="18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5" borderId="1" applyAlignment="1" pivotButton="0" quotePrefix="0" xfId="0">
      <alignment horizontal="center" vertical="bottom" textRotation="90" wrapText="1"/>
    </xf>
    <xf numFmtId="0" fontId="22" fillId="5" borderId="1" applyAlignment="1" pivotButton="0" quotePrefix="0" xfId="0">
      <alignment horizontal="center" shrinkToFit="1"/>
    </xf>
    <xf numFmtId="166" fontId="21" fillId="5" borderId="1" applyAlignment="1" pivotButton="0" quotePrefix="0" xfId="0">
      <alignment horizontal="center"/>
    </xf>
    <xf numFmtId="168" fontId="23" fillId="5" borderId="1" applyAlignment="1" pivotButton="0" quotePrefix="0" xfId="0">
      <alignment horizontal="center"/>
    </xf>
    <xf numFmtId="0" fontId="24" fillId="2" borderId="1" applyAlignment="1" pivotButton="0" quotePrefix="0" xfId="0">
      <alignment horizontal="center" vertical="center" wrapText="1"/>
    </xf>
    <xf numFmtId="0" fontId="24" fillId="2" borderId="1" applyAlignment="1" pivotButton="0" quotePrefix="0" xfId="0">
      <alignment horizontal="center" wrapText="1"/>
    </xf>
    <xf numFmtId="0" fontId="15" fillId="2" borderId="1" applyAlignment="1" pivotButton="0" quotePrefix="0" xfId="0">
      <alignment horizontal="center" vertical="center" wrapText="1"/>
    </xf>
    <xf numFmtId="0" fontId="6" fillId="4" borderId="1" pivotButton="0" quotePrefix="0" xfId="0"/>
    <xf numFmtId="169" fontId="6" fillId="4" borderId="1" pivotButton="0" quotePrefix="0" xfId="0"/>
    <xf numFmtId="0" fontId="6" fillId="4" borderId="1" applyAlignment="1" pivotButton="0" quotePrefix="0" xfId="0">
      <alignment horizontal="center"/>
    </xf>
    <xf numFmtId="0" fontId="16" fillId="3" borderId="1" applyAlignment="1" pivotButton="0" quotePrefix="0" xfId="0">
      <alignment horizontal="center"/>
    </xf>
    <xf numFmtId="169" fontId="7" fillId="4" borderId="1" applyAlignment="1" pivotButton="0" quotePrefix="0" xfId="0">
      <alignment horizontal="center"/>
    </xf>
    <xf numFmtId="169" fontId="6" fillId="4" borderId="1" applyAlignment="1" pivotButton="0" quotePrefix="0" xfId="0">
      <alignment horizontal="center"/>
    </xf>
    <xf numFmtId="2" fontId="7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4" borderId="1" pivotButton="0" quotePrefix="0" xfId="0"/>
    <xf numFmtId="0" fontId="3" fillId="7" borderId="1" pivotButton="0" quotePrefix="0" xfId="0"/>
    <xf numFmtId="0" fontId="30" fillId="0" borderId="0" pivotButton="0" quotePrefix="0" xfId="0"/>
    <xf numFmtId="169" fontId="6" fillId="4" borderId="1" applyAlignment="1" pivotButton="0" quotePrefix="0" xfId="0">
      <alignment horizontal="left" indent="1"/>
    </xf>
    <xf numFmtId="0" fontId="0" fillId="0" borderId="5" pivotButton="0" quotePrefix="0" xfId="0"/>
    <xf numFmtId="0" fontId="0" fillId="0" borderId="6" pivotButton="0" quotePrefix="0" xfId="0"/>
    <xf numFmtId="49" fontId="6" fillId="4" borderId="1" applyAlignment="1" pivotButton="0" quotePrefix="0" xfId="0">
      <alignment horizontal="left" indent="1"/>
    </xf>
    <xf numFmtId="9" fontId="6" fillId="4" borderId="1" applyAlignment="1" pivotButton="0" quotePrefix="0" xfId="0">
      <alignment horizontal="left" indent="1"/>
    </xf>
    <xf numFmtId="1" fontId="6" fillId="4" borderId="1" applyAlignment="1" pivotButton="0" quotePrefix="0" xfId="0">
      <alignment horizontal="left" indent="1"/>
    </xf>
    <xf numFmtId="0" fontId="16" fillId="0" borderId="1" applyAlignment="1" pivotButton="0" quotePrefix="0" xfId="0">
      <alignment horizontal="center"/>
    </xf>
    <xf numFmtId="0" fontId="16" fillId="0" borderId="1" pivotButton="0" quotePrefix="0" xfId="0"/>
    <xf numFmtId="165" fontId="16" fillId="0" borderId="1" applyAlignment="1" pivotButton="0" quotePrefix="0" xfId="0">
      <alignment horizontal="center"/>
    </xf>
    <xf numFmtId="9" fontId="16" fillId="0" borderId="1" applyAlignment="1" pivotButton="0" quotePrefix="0" xfId="0">
      <alignment horizontal="center"/>
    </xf>
  </cellXfs>
  <cellStyles count="1">
    <cellStyle name="Normal" xfId="0" builtinId="0" hidden="0"/>
  </cellStyles>
  <dxfs count="9">
    <dxf>
      <font>
        <b val="1"/>
        <color rgb="009A2A1C"/>
      </font>
    </dxf>
    <dxf>
      <fill>
        <patternFill patternType="solid">
          <fgColor rgb="00C8501A"/>
        </patternFill>
      </fill>
    </dxf>
    <dxf>
      <fill>
        <patternFill patternType="solid">
          <fgColor rgb="003F7F92"/>
        </patternFill>
      </fill>
    </dxf>
    <dxf>
      <font>
        <b val="1"/>
        <color rgb="00FFFFFF"/>
      </font>
      <fill>
        <patternFill patternType="solid">
          <fgColor rgb="00C8501A"/>
        </patternFill>
      </fill>
    </dxf>
    <dxf>
      <font>
        <b val="1"/>
        <color rgb="008A3B00"/>
      </font>
      <fill>
        <patternFill patternType="solid">
          <fgColor rgb="00FBE0C6"/>
        </patternFill>
      </fill>
    </dxf>
    <dxf>
      <font>
        <i val="1"/>
        <color rgb="008A949B"/>
      </font>
    </dxf>
    <dxf>
      <fill>
        <patternFill patternType="solid">
          <fgColor rgb="00FDF1E7"/>
        </patternFill>
      </fill>
    </dxf>
    <dxf>
      <font>
        <b val="1"/>
        <color rgb="009A2A1C"/>
      </font>
      <fill>
        <patternFill patternType="solid">
          <fgColor rgb="00F6D5D0"/>
        </patternFill>
      </fill>
    </dxf>
    <dxf>
      <font>
        <b val="1"/>
        <color rgb="007A5200"/>
      </font>
      <fill>
        <patternFill patternType="solid">
          <fgColor rgb="00FCEB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'Dashboard'!L8</f>
            </strRef>
          </tx>
          <spPr>
            <a:solidFill xmlns:a="http://schemas.openxmlformats.org/drawingml/2006/main">
              <a:srgbClr val="17495A"/>
            </a:solidFill>
            <a:ln xmlns:a="http://schemas.openxmlformats.org/drawingml/2006/main">
              <a:prstDash val="solid"/>
            </a:ln>
          </spPr>
          <cat>
            <numRef>
              <f>'Dashboard'!$K$9:$K$13</f>
            </numRef>
          </cat>
          <val>
            <numRef>
              <f>'Dashboard'!$L$9:$L$13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plotArea>
      <scatterChart>
        <ser>
          <idx val="0"/>
          <order val="0"/>
          <tx>
            <v>Students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C8501A"/>
              </a:solidFill>
              <a:ln xmlns:a="http://schemas.openxmlformats.org/drawingml/2006/main">
                <a:solidFill>
                  <a:srgbClr val="C8501A"/>
                </a:solidFill>
                <a:prstDash val="solid"/>
              </a:ln>
            </spPr>
          </marker>
          <xVal>
            <numRef>
              <f>'Standings'!$D$8:$D$47</f>
            </numRef>
          </xVal>
          <yVal>
            <numRef>
              <f>'Standings'!$E$8:$E$47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Work turned in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% on turned-in work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3F7F92"/>
            </a:solidFill>
            <a:ln xmlns:a="http://schemas.openxmlformats.org/drawingml/2006/main">
              <a:prstDash val="solid"/>
            </a:ln>
          </spPr>
          <cat>
            <numRef>
              <f>'Pacing'!$H$4:$AA$4</f>
            </numRef>
          </cat>
          <val>
            <numRef>
              <f>'Pacing'!$H$27:$AA$27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3096000" cy="230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8</row>
      <rowOff>0</rowOff>
    </from>
    <ext cx="3096000" cy="230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23</row>
      <rowOff>0</rowOff>
    </from>
    <ext cx="6336000" cy="19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8501A"/>
    <outlinePr summaryBelow="1" summaryRight="1"/>
    <pageSetUpPr/>
  </sheetPr>
  <dimension ref="A1:B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1" ht="30" customHeight="1">
      <c r="A1" s="1" t="inlineStr">
        <is>
          <t>Teacher Command Center</t>
        </is>
      </c>
      <c r="B1" s="2" t="n"/>
    </row>
    <row r="2" ht="18" customHeight="1">
      <c r="A2" s="3" t="inlineStr">
        <is>
          <t>Plan the term, grade it, and see who needs help - all tabs work together.</t>
        </is>
      </c>
      <c r="B2" s="2" t="n"/>
    </row>
    <row r="3"/>
    <row r="4">
      <c r="B4" s="4" t="inlineStr">
        <is>
          <t>What is linked to what</t>
        </is>
      </c>
    </row>
    <row r="5">
      <c r="B5" s="5" t="inlineStr">
        <is>
          <t>Pacing plan  &gt;  Assignments get their due dates  &gt;  Gradebook knows what is due  &gt;  submission rate, missing work,</t>
        </is>
      </c>
    </row>
    <row r="6">
      <c r="B6" s="5" t="inlineStr">
        <is>
          <t>grades and class standing update by themselves  &gt;  Dashboard and Student Report show the result.</t>
        </is>
      </c>
    </row>
    <row r="7"/>
    <row r="8">
      <c r="B8" s="4" t="inlineStr">
        <is>
          <t>Set up in 15 minutes</t>
        </is>
      </c>
    </row>
    <row r="9">
      <c r="B9" s="5" t="inlineStr">
        <is>
          <t>1.  Setup: class name, the Monday your term starts, category weights and grade scale.</t>
        </is>
      </c>
    </row>
    <row r="10">
      <c r="B10" s="5" t="inlineStr">
        <is>
          <t>2.  Roster: type your students (up to 40).</t>
        </is>
      </c>
    </row>
    <row r="11">
      <c r="B11" s="5" t="inlineStr">
        <is>
          <t>3.  Pacing: list your units with a start week and length. The timeline colors itself.</t>
        </is>
      </c>
    </row>
    <row r="12">
      <c r="B12" s="5" t="inlineStr">
        <is>
          <t>4.  Assignments: pick the unit for each assignment. It is due at the end of that unit unless you type a date.</t>
        </is>
      </c>
    </row>
    <row r="13">
      <c r="B13" s="5" t="inlineStr">
        <is>
          <t>5.  Gradebook: enter scores. Type M for missing, EX for excused. Past-due blanks count as missing.</t>
        </is>
      </c>
    </row>
    <row r="14"/>
    <row r="15">
      <c r="B15" s="4" t="inlineStr">
        <is>
          <t>What you get</t>
        </is>
      </c>
    </row>
    <row r="16">
      <c r="B16" s="5" t="inlineStr">
        <is>
          <t>Dashboard: class average, submission rate, students at risk, grade spread, workload per week.</t>
        </is>
      </c>
    </row>
    <row r="17">
      <c r="B17" s="5" t="inlineStr">
        <is>
          <t>Standings: each student's grade, submission rate and a combined performance index with rank and percentile,</t>
        </is>
      </c>
    </row>
    <row r="18">
      <c r="B18" s="5" t="inlineStr">
        <is>
          <t>plus an optional curved grade if your school allows relative grading.</t>
        </is>
      </c>
    </row>
    <row r="19">
      <c r="B19" s="5" t="inlineStr">
        <is>
          <t>Student Report: a one-page summary for conferences, with every assignment marked Submitted, Missing, Excused or Not due yet.</t>
        </is>
      </c>
    </row>
    <row r="20"/>
    <row r="21">
      <c r="B21" s="4" t="inlineStr">
        <is>
          <t>Cell colors</t>
        </is>
      </c>
    </row>
    <row r="22">
      <c r="B22" s="5" t="inlineStr">
        <is>
          <t>White cells: type here.   Gray cells: calculated for you. Please do not type over them.</t>
        </is>
      </c>
    </row>
    <row r="23"/>
    <row r="24">
      <c r="B24" s="4" t="inlineStr">
        <is>
          <t>How the numbers work</t>
        </is>
      </c>
    </row>
    <row r="25">
      <c r="B25" s="5" t="inlineStr">
        <is>
          <t>Category % = points earned / points possible on graded work. M counts as 0. EX is skipped. Blank work that is past due</t>
        </is>
      </c>
    </row>
    <row r="26">
      <c r="B26" s="5" t="inlineStr">
        <is>
          <t>counts as 0 when Setup says Yes. The overall grade weights the categories that have graded work so far.</t>
        </is>
      </c>
    </row>
    <row r="27">
      <c r="B27" s="5" t="inlineStr">
        <is>
          <t>Submission rate = work turned in / work that is due (EX not counted). Performance index blends the overall grade and the</t>
        </is>
      </c>
    </row>
    <row r="28">
      <c r="B28" s="5" t="inlineStr">
        <is>
          <t>submission rate with the weights on Setup. Percentile compares each student with the rest of the class.</t>
        </is>
      </c>
    </row>
    <row r="29">
      <c r="B29" s="5" t="inlineStr">
        <is>
          <t>Extra credit: give an assignment 0 points possible.</t>
        </is>
      </c>
    </row>
    <row r="30"/>
    <row r="31">
      <c r="B31" s="4" t="inlineStr">
        <is>
          <t>Google Sheets</t>
        </is>
      </c>
    </row>
    <row r="32">
      <c r="B32" s="5" t="inlineStr">
        <is>
          <t>Upload the file to Google Drive, open it, then choose File &gt; Save as Google Sheets.</t>
        </is>
      </c>
    </row>
    <row r="33"/>
    <row r="34">
      <c r="B34" s="4" t="inlineStr">
        <is>
          <t>FAQ</t>
        </is>
      </c>
    </row>
    <row r="35">
      <c r="B35" s="5" t="inlineStr">
        <is>
          <t>A student shows Missing work I have not graded yet?  Set the date on Setup (As of) or type the score. Blank + past due = missing.</t>
        </is>
      </c>
    </row>
    <row r="36">
      <c r="B36" s="5" t="inlineStr">
        <is>
          <t>I do not use one of the categories?  Set its weight to 0%. The rest still adds up.</t>
        </is>
      </c>
    </row>
    <row r="37">
      <c r="B37" s="5" t="inlineStr">
        <is>
          <t>More than 40 students or 60 assignments?  Make a copy of the file for each class period.</t>
        </is>
      </c>
    </row>
    <row r="38"/>
    <row r="39">
      <c r="B39" s="6" t="inlineStr">
        <is>
          <t>Version 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501A"/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2" customWidth="1" min="4" max="4"/>
    <col width="30" customWidth="1" min="5" max="5"/>
    <col width="16" customWidth="1" min="6" max="6"/>
    <col width="2" customWidth="1" min="7" max="7"/>
    <col width="24" customWidth="1" min="8" max="8"/>
    <col width="10" customWidth="1" min="9" max="9"/>
    <col width="3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 ht="30" customHeight="1">
      <c r="A1" s="1" t="inlineStr">
        <is>
          <t>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7">
        <f>Setup!B4&amp;"  |  "&amp;Setup!B5&amp;"  |  as of "&amp;TEXT(Setup!B8,"mmm d, yyyy")&amp;"  |  week "&amp;Pacing!C3&amp;" of "&amp;Setup!B7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>
      <c r="B4" s="8" t="inlineStr">
        <is>
          <t>Class average</t>
        </is>
      </c>
      <c r="C4" s="9" t="n"/>
      <c r="E4" s="8" t="inlineStr">
        <is>
          <t>Work turned in</t>
        </is>
      </c>
      <c r="F4" s="9" t="n"/>
      <c r="H4" s="8" t="inlineStr">
        <is>
          <t>Students at risk</t>
        </is>
      </c>
      <c r="I4" s="9" t="n"/>
    </row>
    <row r="5" ht="38" customHeight="1">
      <c r="B5" s="10">
        <f>IFERROR(AVERAGE(Gradebook!C10:C49),"")</f>
        <v/>
      </c>
      <c r="C5" s="9" t="n"/>
      <c r="E5" s="11">
        <f>IFERROR(AVERAGE(Gradebook!E10:E49),"")</f>
        <v/>
      </c>
      <c r="F5" s="9" t="n"/>
      <c r="H5" s="12">
        <f>COUNTIF(Standings!K8:K47,"At risk")</f>
        <v/>
      </c>
      <c r="I5" s="9" t="n"/>
    </row>
    <row r="6">
      <c r="B6" s="13">
        <f>COUNT(Gradebook!C10:C49)&amp;" students graded"</f>
        <v/>
      </c>
      <c r="C6" s="9" t="n"/>
      <c r="E6" s="13">
        <f>"Missing items: "&amp;SUM(Gradebook!F10:F49)</f>
        <v/>
      </c>
      <c r="F6" s="9" t="n"/>
      <c r="H6" s="13">
        <f>COUNTIF(Standings!K8:K47,"Watch")&amp;" more to watch"</f>
        <v/>
      </c>
      <c r="I6" s="9" t="n"/>
    </row>
    <row r="8">
      <c r="B8" s="14" t="inlineStr">
        <is>
          <t>Grade spread</t>
        </is>
      </c>
      <c r="E8" s="14" t="inlineStr">
        <is>
          <t>Turned in vs. score</t>
        </is>
      </c>
      <c r="H8" s="14" t="inlineStr">
        <is>
          <t>Needs attention (lowest index)</t>
        </is>
      </c>
      <c r="K8" s="15" t="inlineStr">
        <is>
          <t>Grade</t>
        </is>
      </c>
      <c r="L8" s="15" t="inlineStr">
        <is>
          <t>Students</t>
        </is>
      </c>
    </row>
    <row r="9">
      <c r="H9" s="16" t="inlineStr">
        <is>
          <t>Student</t>
        </is>
      </c>
      <c r="I9" s="16" t="inlineStr">
        <is>
          <t>Index</t>
        </is>
      </c>
      <c r="K9" s="17" t="inlineStr">
        <is>
          <t>A</t>
        </is>
      </c>
      <c r="L9" s="17">
        <f>COUNTIF(Gradebook!D10:D49,"A*")</f>
        <v/>
      </c>
    </row>
    <row r="10">
      <c r="H10" s="18">
        <f>IF((COUNT(Standings!$F$8:$F$47)-0)&lt;1,"",INDEX(Standings!$B$8:$B$47,MATCH((COUNT(Standings!$F$8:$F$47)-0),Standings!$M$8:$M$47,0)))</f>
        <v/>
      </c>
      <c r="I10" s="19">
        <f>IF((COUNT(Standings!$F$8:$F$47)-0)&lt;1,"",INDEX(Standings!$F$8:$F$47,MATCH((COUNT(Standings!$F$8:$F$47)-0),Standings!$M$8:$M$47,0)))</f>
        <v/>
      </c>
      <c r="K10" s="17" t="inlineStr">
        <is>
          <t>B</t>
        </is>
      </c>
      <c r="L10" s="17">
        <f>COUNTIF(Gradebook!D10:D49,"B*")</f>
        <v/>
      </c>
    </row>
    <row r="11">
      <c r="H11" s="18">
        <f>IF((COUNT(Standings!$F$8:$F$47)-1)&lt;1,"",INDEX(Standings!$B$8:$B$47,MATCH((COUNT(Standings!$F$8:$F$47)-1),Standings!$M$8:$M$47,0)))</f>
        <v/>
      </c>
      <c r="I11" s="19">
        <f>IF((COUNT(Standings!$F$8:$F$47)-1)&lt;1,"",INDEX(Standings!$F$8:$F$47,MATCH((COUNT(Standings!$F$8:$F$47)-1),Standings!$M$8:$M$47,0)))</f>
        <v/>
      </c>
      <c r="K11" s="17" t="inlineStr">
        <is>
          <t>C</t>
        </is>
      </c>
      <c r="L11" s="17">
        <f>COUNTIF(Gradebook!D10:D49,"C*")</f>
        <v/>
      </c>
    </row>
    <row r="12">
      <c r="H12" s="18">
        <f>IF((COUNT(Standings!$F$8:$F$47)-2)&lt;1,"",INDEX(Standings!$B$8:$B$47,MATCH((COUNT(Standings!$F$8:$F$47)-2),Standings!$M$8:$M$47,0)))</f>
        <v/>
      </c>
      <c r="I12" s="19">
        <f>IF((COUNT(Standings!$F$8:$F$47)-2)&lt;1,"",INDEX(Standings!$F$8:$F$47,MATCH((COUNT(Standings!$F$8:$F$47)-2),Standings!$M$8:$M$47,0)))</f>
        <v/>
      </c>
      <c r="K12" s="17" t="inlineStr">
        <is>
          <t>D</t>
        </is>
      </c>
      <c r="L12" s="17">
        <f>COUNTIF(Gradebook!D10:D49,"D*")</f>
        <v/>
      </c>
    </row>
    <row r="13">
      <c r="H13" s="18">
        <f>IF((COUNT(Standings!$F$8:$F$47)-3)&lt;1,"",INDEX(Standings!$B$8:$B$47,MATCH((COUNT(Standings!$F$8:$F$47)-3),Standings!$M$8:$M$47,0)))</f>
        <v/>
      </c>
      <c r="I13" s="19">
        <f>IF((COUNT(Standings!$F$8:$F$47)-3)&lt;1,"",INDEX(Standings!$F$8:$F$47,MATCH((COUNT(Standings!$F$8:$F$47)-3),Standings!$M$8:$M$47,0)))</f>
        <v/>
      </c>
      <c r="K13" s="17" t="inlineStr">
        <is>
          <t>F</t>
        </is>
      </c>
      <c r="L13" s="17">
        <f>COUNTIF(Gradebook!D10:D49,"F*")</f>
        <v/>
      </c>
    </row>
    <row r="14">
      <c r="H14" s="18">
        <f>IF((COUNT(Standings!$F$8:$F$47)-4)&lt;1,"",INDEX(Standings!$B$8:$B$47,MATCH((COUNT(Standings!$F$8:$F$47)-4),Standings!$M$8:$M$47,0)))</f>
        <v/>
      </c>
      <c r="I14" s="19">
        <f>IF((COUNT(Standings!$F$8:$F$47)-4)&lt;1,"",INDEX(Standings!$F$8:$F$47,MATCH((COUNT(Standings!$F$8:$F$47)-4),Standings!$M$8:$M$47,0)))</f>
        <v/>
      </c>
    </row>
    <row r="15">
      <c r="H15" s="18">
        <f>IF((COUNT(Standings!$F$8:$F$47)-5)&lt;1,"",INDEX(Standings!$B$8:$B$47,MATCH((COUNT(Standings!$F$8:$F$47)-5),Standings!$M$8:$M$47,0)))</f>
        <v/>
      </c>
      <c r="I15" s="19">
        <f>IF((COUNT(Standings!$F$8:$F$47)-5)&lt;1,"",INDEX(Standings!$F$8:$F$47,MATCH((COUNT(Standings!$F$8:$F$47)-5),Standings!$M$8:$M$47,0)))</f>
        <v/>
      </c>
    </row>
    <row r="16">
      <c r="H16" s="18">
        <f>IF((COUNT(Standings!$F$8:$F$47)-6)&lt;1,"",INDEX(Standings!$B$8:$B$47,MATCH((COUNT(Standings!$F$8:$F$47)-6),Standings!$M$8:$M$47,0)))</f>
        <v/>
      </c>
      <c r="I16" s="19">
        <f>IF((COUNT(Standings!$F$8:$F$47)-6)&lt;1,"",INDEX(Standings!$F$8:$F$47,MATCH((COUNT(Standings!$F$8:$F$47)-6),Standings!$M$8:$M$47,0)))</f>
        <v/>
      </c>
    </row>
    <row r="17">
      <c r="H17" s="18">
        <f>IF((COUNT(Standings!$F$8:$F$47)-7)&lt;1,"",INDEX(Standings!$B$8:$B$47,MATCH((COUNT(Standings!$F$8:$F$47)-7),Standings!$M$8:$M$47,0)))</f>
        <v/>
      </c>
      <c r="I17" s="19">
        <f>IF((COUNT(Standings!$F$8:$F$47)-7)&lt;1,"",INDEX(Standings!$F$8:$F$47,MATCH((COUNT(Standings!$F$8:$F$47)-7),Standings!$M$8:$M$47,0)))</f>
        <v/>
      </c>
    </row>
    <row r="20">
      <c r="K20" s="20">
        <f>Setup!B27</f>
        <v/>
      </c>
    </row>
    <row r="23">
      <c r="B23" s="14" t="inlineStr">
        <is>
          <t>Workload by week (assignments due)</t>
        </is>
      </c>
    </row>
  </sheetData>
  <conditionalFormatting sqref="I10:I17">
    <cfRule type="expression" priority="1" dxfId="0">
      <formula>AND(ISNUMBER(I10),I10&lt;$K$20)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7495A"/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" customWidth="1" min="3" max="3"/>
    <col width="10" customWidth="1" min="4" max="4"/>
    <col width="10" customWidth="1" min="5" max="5"/>
    <col width="3" customWidth="1" min="6" max="6"/>
    <col width="12" customWidth="1" min="7" max="7"/>
    <col width="12" customWidth="1" min="8" max="8"/>
  </cols>
  <sheetData>
    <row r="1" ht="30" customHeight="1">
      <c r="A1" s="1" t="inlineStr">
        <is>
          <t>Setup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Fill the white cells once at the start of the term.</t>
        </is>
      </c>
      <c r="B2" s="2" t="n"/>
      <c r="C2" s="2" t="n"/>
      <c r="D2" s="2" t="n"/>
      <c r="E2" s="2" t="n"/>
      <c r="F2" s="2" t="n"/>
      <c r="G2" s="2" t="n"/>
      <c r="H2" s="2" t="n"/>
    </row>
    <row r="4">
      <c r="A4" s="21" t="inlineStr">
        <is>
          <t>Class</t>
        </is>
      </c>
      <c r="B4" s="22" t="inlineStr">
        <is>
          <t>Period 3 - Algebra I</t>
        </is>
      </c>
    </row>
    <row r="5">
      <c r="A5" s="21" t="inlineStr">
        <is>
          <t>Teacher</t>
        </is>
      </c>
      <c r="B5" s="22" t="inlineStr">
        <is>
          <t>Ms. Rivera</t>
        </is>
      </c>
    </row>
    <row r="6">
      <c r="A6" s="21" t="inlineStr">
        <is>
          <t>Term starts (Monday)</t>
        </is>
      </c>
      <c r="B6" s="23" t="n">
        <v>46251</v>
      </c>
    </row>
    <row r="7">
      <c r="A7" s="21" t="inlineStr">
        <is>
          <t>Weeks in the term</t>
        </is>
      </c>
      <c r="B7" s="24" t="n">
        <v>18</v>
      </c>
    </row>
    <row r="8">
      <c r="A8" s="21" t="inlineStr">
        <is>
          <t>As of (leave =TODAY() or type a date)</t>
        </is>
      </c>
      <c r="B8" s="23">
        <f>TODAY()</f>
        <v/>
      </c>
    </row>
    <row r="9">
      <c r="A9" s="21" t="inlineStr">
        <is>
          <t>Count past-due blanks as 0?</t>
        </is>
      </c>
      <c r="B9" s="22" t="inlineStr">
        <is>
          <t>Yes</t>
        </is>
      </c>
    </row>
    <row r="11">
      <c r="A11" s="25" t="inlineStr">
        <is>
          <t>Category</t>
        </is>
      </c>
      <c r="B11" s="25" t="inlineStr">
        <is>
          <t>Weight</t>
        </is>
      </c>
      <c r="D11" s="25" t="inlineStr">
        <is>
          <t>Min %</t>
        </is>
      </c>
      <c r="E11" s="25" t="inlineStr">
        <is>
          <t>Grade</t>
        </is>
      </c>
      <c r="G11" s="25" t="inlineStr">
        <is>
          <t>Percentile from</t>
        </is>
      </c>
      <c r="H11" s="25" t="inlineStr">
        <is>
          <t>Curved grade</t>
        </is>
      </c>
    </row>
    <row r="12">
      <c r="A12" s="22" t="inlineStr">
        <is>
          <t>Homework</t>
        </is>
      </c>
      <c r="B12" s="26" t="n">
        <v>0.2</v>
      </c>
      <c r="D12" s="26" t="n">
        <v>0</v>
      </c>
      <c r="E12" s="22" t="inlineStr">
        <is>
          <t>F</t>
        </is>
      </c>
      <c r="G12" s="26" t="n">
        <v>0</v>
      </c>
      <c r="H12" s="22" t="inlineStr">
        <is>
          <t>F</t>
        </is>
      </c>
    </row>
    <row r="13">
      <c r="A13" s="22" t="inlineStr">
        <is>
          <t>Quizzes</t>
        </is>
      </c>
      <c r="B13" s="26" t="n">
        <v>0.2</v>
      </c>
      <c r="D13" s="26" t="n">
        <v>0.6</v>
      </c>
      <c r="E13" s="22" t="inlineStr">
        <is>
          <t>D-</t>
        </is>
      </c>
      <c r="G13" s="26" t="n">
        <v>0.05</v>
      </c>
      <c r="H13" s="22" t="inlineStr">
        <is>
          <t>D</t>
        </is>
      </c>
    </row>
    <row r="14">
      <c r="A14" s="22" t="inlineStr">
        <is>
          <t>Tests</t>
        </is>
      </c>
      <c r="B14" s="26" t="n">
        <v>0.4</v>
      </c>
      <c r="D14" s="26" t="n">
        <v>0.63</v>
      </c>
      <c r="E14" s="22" t="inlineStr">
        <is>
          <t>D</t>
        </is>
      </c>
      <c r="G14" s="26" t="n">
        <v>0.2</v>
      </c>
      <c r="H14" s="22" t="inlineStr">
        <is>
          <t>C</t>
        </is>
      </c>
    </row>
    <row r="15">
      <c r="A15" s="22" t="inlineStr">
        <is>
          <t>Projects</t>
        </is>
      </c>
      <c r="B15" s="26" t="n">
        <v>0.1</v>
      </c>
      <c r="D15" s="26" t="n">
        <v>0.67</v>
      </c>
      <c r="E15" s="22" t="inlineStr">
        <is>
          <t>D+</t>
        </is>
      </c>
      <c r="G15" s="26" t="n">
        <v>0.55</v>
      </c>
      <c r="H15" s="22" t="inlineStr">
        <is>
          <t>B</t>
        </is>
      </c>
    </row>
    <row r="16">
      <c r="A16" s="22" t="inlineStr">
        <is>
          <t>Participation</t>
        </is>
      </c>
      <c r="B16" s="26" t="n">
        <v>0.1</v>
      </c>
      <c r="D16" s="26" t="n">
        <v>0.7</v>
      </c>
      <c r="E16" s="22" t="inlineStr">
        <is>
          <t>C-</t>
        </is>
      </c>
      <c r="G16" s="26" t="n">
        <v>0.85</v>
      </c>
      <c r="H16" s="22" t="inlineStr">
        <is>
          <t>A</t>
        </is>
      </c>
    </row>
    <row r="17">
      <c r="A17" s="21" t="inlineStr">
        <is>
          <t>Total</t>
        </is>
      </c>
      <c r="B17" s="27">
        <f>SUM(B12:B16)</f>
        <v/>
      </c>
      <c r="D17" s="26" t="n">
        <v>0.73</v>
      </c>
      <c r="E17" s="22" t="inlineStr">
        <is>
          <t>C</t>
        </is>
      </c>
      <c r="G17" s="28" t="inlineStr">
        <is>
          <t>Optional relative grading.</t>
        </is>
      </c>
    </row>
    <row r="18">
      <c r="A18" s="28">
        <f>IF(ROUND(B17,4)=1,"Weights add up to 100%.","Check: weights add up to "&amp;TEXT(B17,"0%")&amp;".")</f>
        <v/>
      </c>
      <c r="D18" s="26" t="n">
        <v>0.77</v>
      </c>
      <c r="E18" s="22" t="inlineStr">
        <is>
          <t>C+</t>
        </is>
      </c>
      <c r="G18" s="28" t="inlineStr">
        <is>
          <t>Default: top 15% A, next 30% B,</t>
        </is>
      </c>
    </row>
    <row r="19">
      <c r="D19" s="26" t="n">
        <v>0.8</v>
      </c>
      <c r="E19" s="22" t="inlineStr">
        <is>
          <t>B-</t>
        </is>
      </c>
      <c r="G19" s="28" t="inlineStr">
        <is>
          <t>next 35% C, next 15% D, last 5% F.</t>
        </is>
      </c>
    </row>
    <row r="20">
      <c r="D20" s="26" t="n">
        <v>0.83</v>
      </c>
      <c r="E20" s="22" t="inlineStr">
        <is>
          <t>B</t>
        </is>
      </c>
    </row>
    <row r="21">
      <c r="A21" s="14" t="inlineStr">
        <is>
          <t>Performance index</t>
        </is>
      </c>
      <c r="D21" s="26" t="n">
        <v>0.87</v>
      </c>
      <c r="E21" s="22" t="inlineStr">
        <is>
          <t>B+</t>
        </is>
      </c>
    </row>
    <row r="22">
      <c r="A22" t="inlineStr">
        <is>
          <t>Weight of overall grade</t>
        </is>
      </c>
      <c r="B22" s="26" t="n">
        <v>0.7</v>
      </c>
      <c r="D22" s="26" t="n">
        <v>0.9</v>
      </c>
      <c r="E22" s="22" t="inlineStr">
        <is>
          <t>A-</t>
        </is>
      </c>
    </row>
    <row r="23">
      <c r="A23" t="inlineStr">
        <is>
          <t>Weight of submission rate</t>
        </is>
      </c>
      <c r="B23" s="26" t="n">
        <v>0.3</v>
      </c>
      <c r="D23" s="26" t="n">
        <v>0.93</v>
      </c>
      <c r="E23" s="22" t="inlineStr">
        <is>
          <t>A</t>
        </is>
      </c>
    </row>
    <row r="24">
      <c r="D24" s="28" t="inlineStr">
        <is>
          <t>Lowest to highest.</t>
        </is>
      </c>
    </row>
    <row r="26">
      <c r="A26" s="14" t="inlineStr">
        <is>
          <t>At-risk flags</t>
        </is>
      </c>
    </row>
    <row r="27">
      <c r="A27" t="inlineStr">
        <is>
          <t>Overall grade below</t>
        </is>
      </c>
      <c r="B27" s="26" t="n">
        <v>0.7</v>
      </c>
    </row>
    <row r="28">
      <c r="A28" t="inlineStr">
        <is>
          <t>Submission rate below</t>
        </is>
      </c>
      <c r="B28" s="26" t="n">
        <v>0.8</v>
      </c>
    </row>
    <row r="29">
      <c r="A29" s="28" t="inlineStr">
        <is>
          <t>'Watch' = within 10 points of either line.</t>
        </is>
      </c>
    </row>
  </sheetData>
  <dataValidations count="1">
    <dataValidation sqref="B9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7495A"/>
    <outlinePr summaryBelow="1" summaryRight="1"/>
    <pageSetUpPr/>
  </sheetPr>
  <dimension ref="A1:D4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40" customWidth="1" min="4" max="4"/>
  </cols>
  <sheetData>
    <row r="1" ht="30" customHeight="1">
      <c r="A1" s="1" t="inlineStr">
        <is>
          <t>Roster</t>
        </is>
      </c>
      <c r="B1" s="2" t="n"/>
      <c r="C1" s="2" t="n"/>
      <c r="D1" s="2" t="n"/>
    </row>
    <row r="2" ht="18" customHeight="1">
      <c r="A2" s="3" t="inlineStr">
        <is>
          <t>One row per student. Names flow into every other tab.</t>
        </is>
      </c>
      <c r="B2" s="2" t="n"/>
      <c r="C2" s="2" t="n"/>
      <c r="D2" s="2" t="n"/>
    </row>
    <row r="5">
      <c r="A5" s="25" t="inlineStr">
        <is>
          <t>#</t>
        </is>
      </c>
      <c r="B5" s="25" t="inlineStr">
        <is>
          <t>Student</t>
        </is>
      </c>
      <c r="C5" s="25" t="inlineStr">
        <is>
          <t>Student ID</t>
        </is>
      </c>
      <c r="D5" s="25" t="inlineStr">
        <is>
          <t>Notes</t>
        </is>
      </c>
    </row>
    <row r="6">
      <c r="A6" s="6" t="n">
        <v>1</v>
      </c>
      <c r="B6" s="22" t="inlineStr">
        <is>
          <t>Ava Johnson</t>
        </is>
      </c>
      <c r="C6" s="22" t="inlineStr">
        <is>
          <t>S1001</t>
        </is>
      </c>
      <c r="D6" s="22" t="n"/>
    </row>
    <row r="7">
      <c r="A7" s="6" t="n">
        <v>2</v>
      </c>
      <c r="B7" s="22" t="inlineStr">
        <is>
          <t>Liam Smith</t>
        </is>
      </c>
      <c r="C7" s="22" t="inlineStr">
        <is>
          <t>S1002</t>
        </is>
      </c>
      <c r="D7" s="22" t="n"/>
    </row>
    <row r="8">
      <c r="A8" s="6" t="n">
        <v>3</v>
      </c>
      <c r="B8" s="22" t="inlineStr">
        <is>
          <t>Mia Garcia</t>
        </is>
      </c>
      <c r="C8" s="22" t="inlineStr">
        <is>
          <t>S1003</t>
        </is>
      </c>
      <c r="D8" s="22" t="n"/>
    </row>
    <row r="9">
      <c r="A9" s="6" t="n">
        <v>4</v>
      </c>
      <c r="B9" s="22" t="inlineStr">
        <is>
          <t>Noah Brown</t>
        </is>
      </c>
      <c r="C9" s="22" t="inlineStr">
        <is>
          <t>S1004</t>
        </is>
      </c>
      <c r="D9" s="22" t="n"/>
    </row>
    <row r="10">
      <c r="A10" s="6" t="n">
        <v>5</v>
      </c>
      <c r="B10" s="22" t="inlineStr">
        <is>
          <t>Emma Davis</t>
        </is>
      </c>
      <c r="C10" s="22" t="inlineStr">
        <is>
          <t>S1005</t>
        </is>
      </c>
      <c r="D10" s="22" t="n"/>
    </row>
    <row r="11">
      <c r="A11" s="6" t="n">
        <v>6</v>
      </c>
      <c r="B11" s="22" t="inlineStr">
        <is>
          <t>Lucas Miller</t>
        </is>
      </c>
      <c r="C11" s="22" t="inlineStr">
        <is>
          <t>S1006</t>
        </is>
      </c>
      <c r="D11" s="22" t="n"/>
    </row>
    <row r="12">
      <c r="A12" s="6" t="n">
        <v>7</v>
      </c>
      <c r="B12" s="22" t="inlineStr">
        <is>
          <t>Sofia Wilson</t>
        </is>
      </c>
      <c r="C12" s="22" t="inlineStr">
        <is>
          <t>S1007</t>
        </is>
      </c>
      <c r="D12" s="22" t="n"/>
    </row>
    <row r="13">
      <c r="A13" s="6" t="n">
        <v>8</v>
      </c>
      <c r="B13" s="22" t="inlineStr">
        <is>
          <t>Ethan Moore</t>
        </is>
      </c>
      <c r="C13" s="22" t="inlineStr">
        <is>
          <t>S1008</t>
        </is>
      </c>
      <c r="D13" s="22" t="n"/>
    </row>
    <row r="14">
      <c r="A14" s="6" t="n">
        <v>9</v>
      </c>
      <c r="B14" s="22" t="inlineStr">
        <is>
          <t>Isabella Taylor</t>
        </is>
      </c>
      <c r="C14" s="22" t="inlineStr">
        <is>
          <t>S1009</t>
        </is>
      </c>
      <c r="D14" s="22" t="n"/>
    </row>
    <row r="15">
      <c r="A15" s="6" t="n">
        <v>10</v>
      </c>
      <c r="B15" s="22" t="inlineStr">
        <is>
          <t>Mason Anderson</t>
        </is>
      </c>
      <c r="C15" s="22" t="inlineStr">
        <is>
          <t>S1010</t>
        </is>
      </c>
      <c r="D15" s="22" t="n"/>
    </row>
    <row r="16">
      <c r="A16" s="6" t="n">
        <v>11</v>
      </c>
      <c r="B16" s="22" t="inlineStr">
        <is>
          <t>Chloe Thomas</t>
        </is>
      </c>
      <c r="C16" s="22" t="inlineStr">
        <is>
          <t>S1011</t>
        </is>
      </c>
      <c r="D16" s="22" t="n"/>
    </row>
    <row r="17">
      <c r="A17" s="6" t="n">
        <v>12</v>
      </c>
      <c r="B17" s="22" t="inlineStr">
        <is>
          <t>Logan Martinez</t>
        </is>
      </c>
      <c r="C17" s="22" t="inlineStr">
        <is>
          <t>S1012</t>
        </is>
      </c>
      <c r="D17" s="22" t="n"/>
    </row>
    <row r="18">
      <c r="A18" s="6" t="n">
        <v>13</v>
      </c>
      <c r="B18" s="22" t="inlineStr">
        <is>
          <t>Harper Lee</t>
        </is>
      </c>
      <c r="C18" s="22" t="inlineStr">
        <is>
          <t>S1013</t>
        </is>
      </c>
      <c r="D18" s="22" t="n"/>
    </row>
    <row r="19">
      <c r="A19" s="6" t="n">
        <v>14</v>
      </c>
      <c r="B19" s="22" t="inlineStr">
        <is>
          <t>Elijah Clark</t>
        </is>
      </c>
      <c r="C19" s="22" t="inlineStr">
        <is>
          <t>S1014</t>
        </is>
      </c>
      <c r="D19" s="22" t="n"/>
    </row>
    <row r="20">
      <c r="A20" s="6" t="n">
        <v>15</v>
      </c>
      <c r="B20" s="22" t="inlineStr">
        <is>
          <t>Amelia Lewis</t>
        </is>
      </c>
      <c r="C20" s="22" t="inlineStr">
        <is>
          <t>S1015</t>
        </is>
      </c>
      <c r="D20" s="22" t="n"/>
    </row>
    <row r="21">
      <c r="A21" s="6" t="n">
        <v>16</v>
      </c>
      <c r="B21" s="22" t="inlineStr">
        <is>
          <t>James Walker</t>
        </is>
      </c>
      <c r="C21" s="22" t="inlineStr">
        <is>
          <t>S1016</t>
        </is>
      </c>
      <c r="D21" s="22" t="n"/>
    </row>
    <row r="22">
      <c r="A22" s="6" t="n">
        <v>17</v>
      </c>
      <c r="B22" s="22" t="inlineStr">
        <is>
          <t>Evelyn Hall</t>
        </is>
      </c>
      <c r="C22" s="22" t="inlineStr">
        <is>
          <t>S1017</t>
        </is>
      </c>
      <c r="D22" s="22" t="n"/>
    </row>
    <row r="23">
      <c r="A23" s="6" t="n">
        <v>18</v>
      </c>
      <c r="B23" s="22" t="inlineStr">
        <is>
          <t>Benjamin Young</t>
        </is>
      </c>
      <c r="C23" s="22" t="inlineStr">
        <is>
          <t>S1018</t>
        </is>
      </c>
      <c r="D23" s="22" t="n"/>
    </row>
    <row r="24">
      <c r="A24" s="6" t="n">
        <v>19</v>
      </c>
      <c r="B24" s="22" t="inlineStr">
        <is>
          <t>Abigail King</t>
        </is>
      </c>
      <c r="C24" s="22" t="inlineStr">
        <is>
          <t>S1019</t>
        </is>
      </c>
      <c r="D24" s="22" t="n"/>
    </row>
    <row r="25">
      <c r="A25" s="6" t="n">
        <v>20</v>
      </c>
      <c r="B25" s="22" t="inlineStr">
        <is>
          <t>Henry Wright</t>
        </is>
      </c>
      <c r="C25" s="22" t="inlineStr">
        <is>
          <t>S1020</t>
        </is>
      </c>
      <c r="D25" s="22" t="n"/>
    </row>
    <row r="26">
      <c r="A26" s="6" t="n">
        <v>21</v>
      </c>
      <c r="B26" s="22" t="inlineStr">
        <is>
          <t>Ella Scott</t>
        </is>
      </c>
      <c r="C26" s="22" t="inlineStr">
        <is>
          <t>S1021</t>
        </is>
      </c>
      <c r="D26" s="22" t="n"/>
    </row>
    <row r="27">
      <c r="A27" s="6" t="n">
        <v>22</v>
      </c>
      <c r="B27" s="22" t="inlineStr">
        <is>
          <t>Jack Green</t>
        </is>
      </c>
      <c r="C27" s="22" t="inlineStr">
        <is>
          <t>S1022</t>
        </is>
      </c>
      <c r="D27" s="22" t="n"/>
    </row>
    <row r="28">
      <c r="A28" s="6" t="n">
        <v>23</v>
      </c>
      <c r="B28" s="22" t="inlineStr">
        <is>
          <t>Aria Adams</t>
        </is>
      </c>
      <c r="C28" s="22" t="inlineStr">
        <is>
          <t>S1023</t>
        </is>
      </c>
      <c r="D28" s="22" t="n"/>
    </row>
    <row r="29">
      <c r="A29" s="6" t="n">
        <v>24</v>
      </c>
      <c r="B29" s="22" t="inlineStr">
        <is>
          <t>Owen Baker</t>
        </is>
      </c>
      <c r="C29" s="22" t="inlineStr">
        <is>
          <t>S1024</t>
        </is>
      </c>
      <c r="D29" s="22" t="n"/>
    </row>
    <row r="30">
      <c r="A30" s="6" t="n">
        <v>25</v>
      </c>
      <c r="B30" s="22" t="n"/>
      <c r="C30" s="22" t="n"/>
      <c r="D30" s="22" t="n"/>
    </row>
    <row r="31">
      <c r="A31" s="6" t="n">
        <v>26</v>
      </c>
      <c r="B31" s="22" t="n"/>
      <c r="C31" s="22" t="n"/>
      <c r="D31" s="22" t="n"/>
    </row>
    <row r="32">
      <c r="A32" s="6" t="n">
        <v>27</v>
      </c>
      <c r="B32" s="22" t="n"/>
      <c r="C32" s="22" t="n"/>
      <c r="D32" s="22" t="n"/>
    </row>
    <row r="33">
      <c r="A33" s="6" t="n">
        <v>28</v>
      </c>
      <c r="B33" s="22" t="n"/>
      <c r="C33" s="22" t="n"/>
      <c r="D33" s="22" t="n"/>
    </row>
    <row r="34">
      <c r="A34" s="6" t="n">
        <v>29</v>
      </c>
      <c r="B34" s="22" t="n"/>
      <c r="C34" s="22" t="n"/>
      <c r="D34" s="22" t="n"/>
    </row>
    <row r="35">
      <c r="A35" s="6" t="n">
        <v>30</v>
      </c>
      <c r="B35" s="22" t="n"/>
      <c r="C35" s="22" t="n"/>
      <c r="D35" s="22" t="n"/>
    </row>
    <row r="36">
      <c r="A36" s="6" t="n">
        <v>31</v>
      </c>
      <c r="B36" s="22" t="n"/>
      <c r="C36" s="22" t="n"/>
      <c r="D36" s="22" t="n"/>
    </row>
    <row r="37">
      <c r="A37" s="6" t="n">
        <v>32</v>
      </c>
      <c r="B37" s="22" t="n"/>
      <c r="C37" s="22" t="n"/>
      <c r="D37" s="22" t="n"/>
    </row>
    <row r="38">
      <c r="A38" s="6" t="n">
        <v>33</v>
      </c>
      <c r="B38" s="22" t="n"/>
      <c r="C38" s="22" t="n"/>
      <c r="D38" s="22" t="n"/>
    </row>
    <row r="39">
      <c r="A39" s="6" t="n">
        <v>34</v>
      </c>
      <c r="B39" s="22" t="n"/>
      <c r="C39" s="22" t="n"/>
      <c r="D39" s="22" t="n"/>
    </row>
    <row r="40">
      <c r="A40" s="6" t="n">
        <v>35</v>
      </c>
      <c r="B40" s="22" t="n"/>
      <c r="C40" s="22" t="n"/>
      <c r="D40" s="22" t="n"/>
    </row>
    <row r="41">
      <c r="A41" s="6" t="n">
        <v>36</v>
      </c>
      <c r="B41" s="22" t="n"/>
      <c r="C41" s="22" t="n"/>
      <c r="D41" s="22" t="n"/>
    </row>
    <row r="42">
      <c r="A42" s="6" t="n">
        <v>37</v>
      </c>
      <c r="B42" s="22" t="n"/>
      <c r="C42" s="22" t="n"/>
      <c r="D42" s="22" t="n"/>
    </row>
    <row r="43">
      <c r="A43" s="6" t="n">
        <v>38</v>
      </c>
      <c r="B43" s="22" t="n"/>
      <c r="C43" s="22" t="n"/>
      <c r="D43" s="22" t="n"/>
    </row>
    <row r="44">
      <c r="A44" s="6" t="n">
        <v>39</v>
      </c>
      <c r="B44" s="22" t="n"/>
      <c r="C44" s="22" t="n"/>
      <c r="D44" s="22" t="n"/>
    </row>
    <row r="45">
      <c r="A45" s="6" t="n">
        <v>40</v>
      </c>
      <c r="B45" s="22" t="n"/>
      <c r="C45" s="22" t="n"/>
      <c r="D45" s="2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7495A"/>
    <outlinePr summaryBelow="1" summaryRight="1"/>
    <pageSetUpPr/>
  </sheetPr>
  <dimension ref="A1:AA28"/>
  <sheetViews>
    <sheetView showGridLines="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7" customWidth="1" min="3" max="3"/>
    <col width="7" customWidth="1" min="4" max="4"/>
    <col width="11" customWidth="1" min="5" max="5"/>
    <col width="11" customWidth="1" min="6" max="6"/>
    <col width="7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</cols>
  <sheetData>
    <row r="1" ht="30" customHeight="1">
      <c r="A1" s="1" t="inlineStr">
        <is>
          <t>Pacing Plan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8" customHeight="1">
      <c r="A2" s="3" t="inlineStr">
        <is>
          <t>Units by week. Assignments take their due date from the end of their unit.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9" t="inlineStr">
        <is>
          <t>This week:</t>
        </is>
      </c>
      <c r="C3" s="30">
        <f>IF(Setup!B8="","",INT((Setup!B8-Setup!B6)/7)+1)</f>
        <v/>
      </c>
    </row>
    <row r="4">
      <c r="H4" s="31" t="n">
        <v>1</v>
      </c>
      <c r="I4" s="31" t="n">
        <v>2</v>
      </c>
      <c r="J4" s="31" t="n">
        <v>3</v>
      </c>
      <c r="K4" s="31" t="n">
        <v>4</v>
      </c>
      <c r="L4" s="31" t="n">
        <v>5</v>
      </c>
      <c r="M4" s="31" t="n">
        <v>6</v>
      </c>
      <c r="N4" s="31" t="n">
        <v>7</v>
      </c>
      <c r="O4" s="31" t="n">
        <v>8</v>
      </c>
      <c r="P4" s="31" t="n">
        <v>9</v>
      </c>
      <c r="Q4" s="31" t="n">
        <v>10</v>
      </c>
      <c r="R4" s="31" t="n">
        <v>11</v>
      </c>
      <c r="S4" s="31" t="n">
        <v>12</v>
      </c>
      <c r="T4" s="31" t="n">
        <v>13</v>
      </c>
      <c r="U4" s="31" t="n">
        <v>14</v>
      </c>
      <c r="V4" s="31" t="n">
        <v>15</v>
      </c>
      <c r="W4" s="31" t="n">
        <v>16</v>
      </c>
      <c r="X4" s="31" t="n">
        <v>17</v>
      </c>
      <c r="Y4" s="31" t="n">
        <v>18</v>
      </c>
      <c r="Z4" s="31" t="n">
        <v>19</v>
      </c>
      <c r="AA4" s="31" t="n">
        <v>20</v>
      </c>
    </row>
    <row r="5" ht="34" customHeight="1">
      <c r="A5" s="16" t="inlineStr">
        <is>
          <t>#</t>
        </is>
      </c>
      <c r="B5" s="16" t="inlineStr">
        <is>
          <t>Unit</t>
        </is>
      </c>
      <c r="C5" s="16" t="inlineStr">
        <is>
          <t>Start wk</t>
        </is>
      </c>
      <c r="D5" s="16" t="inlineStr">
        <is>
          <t>Weeks</t>
        </is>
      </c>
      <c r="E5" s="16" t="inlineStr">
        <is>
          <t>Starts</t>
        </is>
      </c>
      <c r="F5" s="16" t="inlineStr">
        <is>
          <t>Ends</t>
        </is>
      </c>
      <c r="G5" s="16" t="inlineStr">
        <is>
          <t>Items</t>
        </is>
      </c>
      <c r="H5" s="32">
        <f>Setup!$B$6+(H$4-1)*7</f>
        <v/>
      </c>
      <c r="I5" s="32">
        <f>Setup!$B$6+(I$4-1)*7</f>
        <v/>
      </c>
      <c r="J5" s="32">
        <f>Setup!$B$6+(J$4-1)*7</f>
        <v/>
      </c>
      <c r="K5" s="32">
        <f>Setup!$B$6+(K$4-1)*7</f>
        <v/>
      </c>
      <c r="L5" s="32">
        <f>Setup!$B$6+(L$4-1)*7</f>
        <v/>
      </c>
      <c r="M5" s="32">
        <f>Setup!$B$6+(M$4-1)*7</f>
        <v/>
      </c>
      <c r="N5" s="32">
        <f>Setup!$B$6+(N$4-1)*7</f>
        <v/>
      </c>
      <c r="O5" s="32">
        <f>Setup!$B$6+(O$4-1)*7</f>
        <v/>
      </c>
      <c r="P5" s="32">
        <f>Setup!$B$6+(P$4-1)*7</f>
        <v/>
      </c>
      <c r="Q5" s="32">
        <f>Setup!$B$6+(Q$4-1)*7</f>
        <v/>
      </c>
      <c r="R5" s="32">
        <f>Setup!$B$6+(R$4-1)*7</f>
        <v/>
      </c>
      <c r="S5" s="32">
        <f>Setup!$B$6+(S$4-1)*7</f>
        <v/>
      </c>
      <c r="T5" s="32">
        <f>Setup!$B$6+(T$4-1)*7</f>
        <v/>
      </c>
      <c r="U5" s="32">
        <f>Setup!$B$6+(U$4-1)*7</f>
        <v/>
      </c>
      <c r="V5" s="32">
        <f>Setup!$B$6+(V$4-1)*7</f>
        <v/>
      </c>
      <c r="W5" s="32">
        <f>Setup!$B$6+(W$4-1)*7</f>
        <v/>
      </c>
      <c r="X5" s="32">
        <f>Setup!$B$6+(X$4-1)*7</f>
        <v/>
      </c>
      <c r="Y5" s="32">
        <f>Setup!$B$6+(Y$4-1)*7</f>
        <v/>
      </c>
      <c r="Z5" s="32">
        <f>Setup!$B$6+(Z$4-1)*7</f>
        <v/>
      </c>
      <c r="AA5" s="32">
        <f>Setup!$B$6+(AA$4-1)*7</f>
        <v/>
      </c>
    </row>
    <row r="6">
      <c r="A6" s="6" t="n">
        <v>1</v>
      </c>
      <c r="B6" s="22" t="inlineStr">
        <is>
          <t>Foundations</t>
        </is>
      </c>
      <c r="C6" s="24" t="n">
        <v>1</v>
      </c>
      <c r="D6" s="24" t="n">
        <v>3</v>
      </c>
      <c r="E6" s="33">
        <f>IF(OR(B6="",C6=""),"",Setup!$B$6+(C6-1)*7)</f>
        <v/>
      </c>
      <c r="F6" s="33">
        <f>IF(OR(B6="",C6=""),"",Setup!$B$6+(C6+MAX(1,D6)-2)*7+4)</f>
        <v/>
      </c>
      <c r="G6" s="34">
        <f>IF(B6="","",COUNTIF(Assignments!$C$6:$C$65,B6))</f>
        <v/>
      </c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  <c r="AA6" s="35" t="n"/>
    </row>
    <row r="7">
      <c r="A7" s="6" t="n">
        <v>2</v>
      </c>
      <c r="B7" s="22" t="inlineStr">
        <is>
          <t>Linear Equations</t>
        </is>
      </c>
      <c r="C7" s="24" t="n">
        <v>4</v>
      </c>
      <c r="D7" s="24" t="n">
        <v>3</v>
      </c>
      <c r="E7" s="33">
        <f>IF(OR(B7="",C7=""),"",Setup!$B$6+(C7-1)*7)</f>
        <v/>
      </c>
      <c r="F7" s="33">
        <f>IF(OR(B7="",C7=""),"",Setup!$B$6+(C7+MAX(1,D7)-2)*7+4)</f>
        <v/>
      </c>
      <c r="G7" s="34">
        <f>IF(B7="","",COUNTIF(Assignments!$C$6:$C$65,B7))</f>
        <v/>
      </c>
      <c r="H7" s="35" t="n"/>
      <c r="I7" s="35" t="n"/>
      <c r="J7" s="35" t="n"/>
      <c r="K7" s="35" t="n"/>
      <c r="L7" s="35" t="n"/>
      <c r="M7" s="35" t="n"/>
      <c r="N7" s="35" t="n"/>
      <c r="O7" s="35" t="n"/>
      <c r="P7" s="35" t="n"/>
      <c r="Q7" s="35" t="n"/>
      <c r="R7" s="35" t="n"/>
      <c r="S7" s="35" t="n"/>
      <c r="T7" s="35" t="n"/>
      <c r="U7" s="35" t="n"/>
      <c r="V7" s="35" t="n"/>
      <c r="W7" s="35" t="n"/>
      <c r="X7" s="35" t="n"/>
      <c r="Y7" s="35" t="n"/>
      <c r="Z7" s="35" t="n"/>
      <c r="AA7" s="35" t="n"/>
    </row>
    <row r="8">
      <c r="A8" s="6" t="n">
        <v>3</v>
      </c>
      <c r="B8" s="22" t="inlineStr">
        <is>
          <t>Functions</t>
        </is>
      </c>
      <c r="C8" s="24" t="n">
        <v>7</v>
      </c>
      <c r="D8" s="24" t="n">
        <v>3</v>
      </c>
      <c r="E8" s="33">
        <f>IF(OR(B8="",C8=""),"",Setup!$B$6+(C8-1)*7)</f>
        <v/>
      </c>
      <c r="F8" s="33">
        <f>IF(OR(B8="",C8=""),"",Setup!$B$6+(C8+MAX(1,D8)-2)*7+4)</f>
        <v/>
      </c>
      <c r="G8" s="34">
        <f>IF(B8="","",COUNTIF(Assignments!$C$6:$C$65,B8))</f>
        <v/>
      </c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</row>
    <row r="9">
      <c r="A9" s="6" t="n">
        <v>4</v>
      </c>
      <c r="B9" s="22" t="inlineStr">
        <is>
          <t>Midterm Review</t>
        </is>
      </c>
      <c r="C9" s="24" t="n">
        <v>10</v>
      </c>
      <c r="D9" s="24" t="n">
        <v>1</v>
      </c>
      <c r="E9" s="33">
        <f>IF(OR(B9="",C9=""),"",Setup!$B$6+(C9-1)*7)</f>
        <v/>
      </c>
      <c r="F9" s="33">
        <f>IF(OR(B9="",C9=""),"",Setup!$B$6+(C9+MAX(1,D9)-2)*7+4)</f>
        <v/>
      </c>
      <c r="G9" s="34">
        <f>IF(B9="","",COUNTIF(Assignments!$C$6:$C$65,B9))</f>
        <v/>
      </c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  <c r="AA9" s="35" t="n"/>
    </row>
    <row r="10">
      <c r="A10" s="6" t="n">
        <v>5</v>
      </c>
      <c r="B10" s="22" t="inlineStr">
        <is>
          <t>Systems of Equations</t>
        </is>
      </c>
      <c r="C10" s="24" t="n">
        <v>11</v>
      </c>
      <c r="D10" s="24" t="n">
        <v>3</v>
      </c>
      <c r="E10" s="33">
        <f>IF(OR(B10="",C10=""),"",Setup!$B$6+(C10-1)*7)</f>
        <v/>
      </c>
      <c r="F10" s="33">
        <f>IF(OR(B10="",C10=""),"",Setup!$B$6+(C10+MAX(1,D10)-2)*7+4)</f>
        <v/>
      </c>
      <c r="G10" s="34">
        <f>IF(B10="","",COUNTIF(Assignments!$C$6:$C$65,B10))</f>
        <v/>
      </c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  <c r="AA10" s="35" t="n"/>
    </row>
    <row r="11">
      <c r="A11" s="6" t="n">
        <v>6</v>
      </c>
      <c r="B11" s="22" t="inlineStr">
        <is>
          <t>Quadratics</t>
        </is>
      </c>
      <c r="C11" s="24" t="n">
        <v>14</v>
      </c>
      <c r="D11" s="24" t="n">
        <v>3</v>
      </c>
      <c r="E11" s="33">
        <f>IF(OR(B11="",C11=""),"",Setup!$B$6+(C11-1)*7)</f>
        <v/>
      </c>
      <c r="F11" s="33">
        <f>IF(OR(B11="",C11=""),"",Setup!$B$6+(C11+MAX(1,D11)-2)*7+4)</f>
        <v/>
      </c>
      <c r="G11" s="34">
        <f>IF(B11="","",COUNTIF(Assignments!$C$6:$C$65,B11))</f>
        <v/>
      </c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5" t="n"/>
      <c r="X11" s="35" t="n"/>
      <c r="Y11" s="35" t="n"/>
      <c r="Z11" s="35" t="n"/>
      <c r="AA11" s="35" t="n"/>
    </row>
    <row r="12">
      <c r="A12" s="6" t="n">
        <v>7</v>
      </c>
      <c r="B12" s="22" t="inlineStr">
        <is>
          <t>Final Review</t>
        </is>
      </c>
      <c r="C12" s="24" t="n">
        <v>17</v>
      </c>
      <c r="D12" s="24" t="n">
        <v>2</v>
      </c>
      <c r="E12" s="33">
        <f>IF(OR(B12="",C12=""),"",Setup!$B$6+(C12-1)*7)</f>
        <v/>
      </c>
      <c r="F12" s="33">
        <f>IF(OR(B12="",C12=""),"",Setup!$B$6+(C12+MAX(1,D12)-2)*7+4)</f>
        <v/>
      </c>
      <c r="G12" s="34">
        <f>IF(B12="","",COUNTIF(Assignments!$C$6:$C$65,B12))</f>
        <v/>
      </c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</row>
    <row r="13">
      <c r="A13" s="6" t="n">
        <v>8</v>
      </c>
      <c r="B13" s="22" t="n"/>
      <c r="C13" s="24" t="n"/>
      <c r="D13" s="24" t="n"/>
      <c r="E13" s="33">
        <f>IF(OR(B13="",C13=""),"",Setup!$B$6+(C13-1)*7)</f>
        <v/>
      </c>
      <c r="F13" s="33">
        <f>IF(OR(B13="",C13=""),"",Setup!$B$6+(C13+MAX(1,D13)-2)*7+4)</f>
        <v/>
      </c>
      <c r="G13" s="34">
        <f>IF(B13="","",COUNTIF(Assignments!$C$6:$C$65,B13))</f>
        <v/>
      </c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</row>
    <row r="14">
      <c r="A14" s="6" t="n">
        <v>9</v>
      </c>
      <c r="B14" s="22" t="n"/>
      <c r="C14" s="24" t="n"/>
      <c r="D14" s="24" t="n"/>
      <c r="E14" s="33">
        <f>IF(OR(B14="",C14=""),"",Setup!$B$6+(C14-1)*7)</f>
        <v/>
      </c>
      <c r="F14" s="33">
        <f>IF(OR(B14="",C14=""),"",Setup!$B$6+(C14+MAX(1,D14)-2)*7+4)</f>
        <v/>
      </c>
      <c r="G14" s="34">
        <f>IF(B14="","",COUNTIF(Assignments!$C$6:$C$65,B14))</f>
        <v/>
      </c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</row>
    <row r="15">
      <c r="A15" s="6" t="n">
        <v>10</v>
      </c>
      <c r="B15" s="22" t="n"/>
      <c r="C15" s="24" t="n"/>
      <c r="D15" s="24" t="n"/>
      <c r="E15" s="33">
        <f>IF(OR(B15="",C15=""),"",Setup!$B$6+(C15-1)*7)</f>
        <v/>
      </c>
      <c r="F15" s="33">
        <f>IF(OR(B15="",C15=""),"",Setup!$B$6+(C15+MAX(1,D15)-2)*7+4)</f>
        <v/>
      </c>
      <c r="G15" s="34">
        <f>IF(B15="","",COUNTIF(Assignments!$C$6:$C$65,B15))</f>
        <v/>
      </c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</row>
    <row r="16">
      <c r="A16" s="6" t="n">
        <v>11</v>
      </c>
      <c r="B16" s="22" t="n"/>
      <c r="C16" s="24" t="n"/>
      <c r="D16" s="24" t="n"/>
      <c r="E16" s="33">
        <f>IF(OR(B16="",C16=""),"",Setup!$B$6+(C16-1)*7)</f>
        <v/>
      </c>
      <c r="F16" s="33">
        <f>IF(OR(B16="",C16=""),"",Setup!$B$6+(C16+MAX(1,D16)-2)*7+4)</f>
        <v/>
      </c>
      <c r="G16" s="34">
        <f>IF(B16="","",COUNTIF(Assignments!$C$6:$C$65,B16))</f>
        <v/>
      </c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</row>
    <row r="17">
      <c r="A17" s="6" t="n">
        <v>12</v>
      </c>
      <c r="B17" s="22" t="n"/>
      <c r="C17" s="24" t="n"/>
      <c r="D17" s="24" t="n"/>
      <c r="E17" s="33">
        <f>IF(OR(B17="",C17=""),"",Setup!$B$6+(C17-1)*7)</f>
        <v/>
      </c>
      <c r="F17" s="33">
        <f>IF(OR(B17="",C17=""),"",Setup!$B$6+(C17+MAX(1,D17)-2)*7+4)</f>
        <v/>
      </c>
      <c r="G17" s="34">
        <f>IF(B17="","",COUNTIF(Assignments!$C$6:$C$65,B17))</f>
        <v/>
      </c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</row>
    <row r="18">
      <c r="A18" s="6" t="n">
        <v>13</v>
      </c>
      <c r="B18" s="22" t="n"/>
      <c r="C18" s="24" t="n"/>
      <c r="D18" s="24" t="n"/>
      <c r="E18" s="33">
        <f>IF(OR(B18="",C18=""),"",Setup!$B$6+(C18-1)*7)</f>
        <v/>
      </c>
      <c r="F18" s="33">
        <f>IF(OR(B18="",C18=""),"",Setup!$B$6+(C18+MAX(1,D18)-2)*7+4)</f>
        <v/>
      </c>
      <c r="G18" s="34">
        <f>IF(B18="","",COUNTIF(Assignments!$C$6:$C$65,B18))</f>
        <v/>
      </c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</row>
    <row r="19">
      <c r="A19" s="6" t="n">
        <v>14</v>
      </c>
      <c r="B19" s="22" t="n"/>
      <c r="C19" s="24" t="n"/>
      <c r="D19" s="24" t="n"/>
      <c r="E19" s="33">
        <f>IF(OR(B19="",C19=""),"",Setup!$B$6+(C19-1)*7)</f>
        <v/>
      </c>
      <c r="F19" s="33">
        <f>IF(OR(B19="",C19=""),"",Setup!$B$6+(C19+MAX(1,D19)-2)*7+4)</f>
        <v/>
      </c>
      <c r="G19" s="34">
        <f>IF(B19="","",COUNTIF(Assignments!$C$6:$C$65,B19))</f>
        <v/>
      </c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</row>
    <row r="20">
      <c r="A20" s="6" t="n">
        <v>15</v>
      </c>
      <c r="B20" s="22" t="n"/>
      <c r="C20" s="24" t="n"/>
      <c r="D20" s="24" t="n"/>
      <c r="E20" s="33">
        <f>IF(OR(B20="",C20=""),"",Setup!$B$6+(C20-1)*7)</f>
        <v/>
      </c>
      <c r="F20" s="33">
        <f>IF(OR(B20="",C20=""),"",Setup!$B$6+(C20+MAX(1,D20)-2)*7+4)</f>
        <v/>
      </c>
      <c r="G20" s="34">
        <f>IF(B20="","",COUNTIF(Assignments!$C$6:$C$65,B20))</f>
        <v/>
      </c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</row>
    <row r="21">
      <c r="A21" s="6" t="n">
        <v>16</v>
      </c>
      <c r="B21" s="22" t="n"/>
      <c r="C21" s="24" t="n"/>
      <c r="D21" s="24" t="n"/>
      <c r="E21" s="33">
        <f>IF(OR(B21="",C21=""),"",Setup!$B$6+(C21-1)*7)</f>
        <v/>
      </c>
      <c r="F21" s="33">
        <f>IF(OR(B21="",C21=""),"",Setup!$B$6+(C21+MAX(1,D21)-2)*7+4)</f>
        <v/>
      </c>
      <c r="G21" s="34">
        <f>IF(B21="","",COUNTIF(Assignments!$C$6:$C$65,B21))</f>
        <v/>
      </c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</row>
    <row r="22">
      <c r="A22" s="6" t="n">
        <v>17</v>
      </c>
      <c r="B22" s="22" t="n"/>
      <c r="C22" s="24" t="n"/>
      <c r="D22" s="24" t="n"/>
      <c r="E22" s="33">
        <f>IF(OR(B22="",C22=""),"",Setup!$B$6+(C22-1)*7)</f>
        <v/>
      </c>
      <c r="F22" s="33">
        <f>IF(OR(B22="",C22=""),"",Setup!$B$6+(C22+MAX(1,D22)-2)*7+4)</f>
        <v/>
      </c>
      <c r="G22" s="34">
        <f>IF(B22="","",COUNTIF(Assignments!$C$6:$C$65,B22))</f>
        <v/>
      </c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</row>
    <row r="23">
      <c r="A23" s="6" t="n">
        <v>18</v>
      </c>
      <c r="B23" s="22" t="n"/>
      <c r="C23" s="24" t="n"/>
      <c r="D23" s="24" t="n"/>
      <c r="E23" s="33">
        <f>IF(OR(B23="",C23=""),"",Setup!$B$6+(C23-1)*7)</f>
        <v/>
      </c>
      <c r="F23" s="33">
        <f>IF(OR(B23="",C23=""),"",Setup!$B$6+(C23+MAX(1,D23)-2)*7+4)</f>
        <v/>
      </c>
      <c r="G23" s="34">
        <f>IF(B23="","",COUNTIF(Assignments!$C$6:$C$65,B23))</f>
        <v/>
      </c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</row>
    <row r="24">
      <c r="A24" s="6" t="n">
        <v>19</v>
      </c>
      <c r="B24" s="22" t="n"/>
      <c r="C24" s="24" t="n"/>
      <c r="D24" s="24" t="n"/>
      <c r="E24" s="33">
        <f>IF(OR(B24="",C24=""),"",Setup!$B$6+(C24-1)*7)</f>
        <v/>
      </c>
      <c r="F24" s="33">
        <f>IF(OR(B24="",C24=""),"",Setup!$B$6+(C24+MAX(1,D24)-2)*7+4)</f>
        <v/>
      </c>
      <c r="G24" s="34">
        <f>IF(B24="","",COUNTIF(Assignments!$C$6:$C$65,B24))</f>
        <v/>
      </c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  <c r="AA24" s="35" t="n"/>
    </row>
    <row r="25">
      <c r="A25" s="6" t="n">
        <v>20</v>
      </c>
      <c r="B25" s="22" t="n"/>
      <c r="C25" s="24" t="n"/>
      <c r="D25" s="24" t="n"/>
      <c r="E25" s="33">
        <f>IF(OR(B25="",C25=""),"",Setup!$B$6+(C25-1)*7)</f>
        <v/>
      </c>
      <c r="F25" s="33">
        <f>IF(OR(B25="",C25=""),"",Setup!$B$6+(C25+MAX(1,D25)-2)*7+4)</f>
        <v/>
      </c>
      <c r="G25" s="34">
        <f>IF(B25="","",COUNTIF(Assignments!$C$6:$C$65,B25))</f>
        <v/>
      </c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35" t="n"/>
      <c r="AA25" s="35" t="n"/>
    </row>
    <row r="27">
      <c r="B27" s="21" t="inlineStr">
        <is>
          <t>Assignments due</t>
        </is>
      </c>
      <c r="H27" s="36">
        <f>COUNTIF(Assignments!$H$6:$H$65,H$4)</f>
        <v/>
      </c>
      <c r="I27" s="36">
        <f>COUNTIF(Assignments!$H$6:$H$65,I$4)</f>
        <v/>
      </c>
      <c r="J27" s="36">
        <f>COUNTIF(Assignments!$H$6:$H$65,J$4)</f>
        <v/>
      </c>
      <c r="K27" s="36">
        <f>COUNTIF(Assignments!$H$6:$H$65,K$4)</f>
        <v/>
      </c>
      <c r="L27" s="36">
        <f>COUNTIF(Assignments!$H$6:$H$65,L$4)</f>
        <v/>
      </c>
      <c r="M27" s="36">
        <f>COUNTIF(Assignments!$H$6:$H$65,M$4)</f>
        <v/>
      </c>
      <c r="N27" s="36">
        <f>COUNTIF(Assignments!$H$6:$H$65,N$4)</f>
        <v/>
      </c>
      <c r="O27" s="36">
        <f>COUNTIF(Assignments!$H$6:$H$65,O$4)</f>
        <v/>
      </c>
      <c r="P27" s="36">
        <f>COUNTIF(Assignments!$H$6:$H$65,P$4)</f>
        <v/>
      </c>
      <c r="Q27" s="36">
        <f>COUNTIF(Assignments!$H$6:$H$65,Q$4)</f>
        <v/>
      </c>
      <c r="R27" s="36">
        <f>COUNTIF(Assignments!$H$6:$H$65,R$4)</f>
        <v/>
      </c>
      <c r="S27" s="36">
        <f>COUNTIF(Assignments!$H$6:$H$65,S$4)</f>
        <v/>
      </c>
      <c r="T27" s="36">
        <f>COUNTIF(Assignments!$H$6:$H$65,T$4)</f>
        <v/>
      </c>
      <c r="U27" s="36">
        <f>COUNTIF(Assignments!$H$6:$H$65,U$4)</f>
        <v/>
      </c>
      <c r="V27" s="36">
        <f>COUNTIF(Assignments!$H$6:$H$65,V$4)</f>
        <v/>
      </c>
      <c r="W27" s="36">
        <f>COUNTIF(Assignments!$H$6:$H$65,W$4)</f>
        <v/>
      </c>
      <c r="X27" s="36">
        <f>COUNTIF(Assignments!$H$6:$H$65,X$4)</f>
        <v/>
      </c>
      <c r="Y27" s="36">
        <f>COUNTIF(Assignments!$H$6:$H$65,Y$4)</f>
        <v/>
      </c>
      <c r="Z27" s="36">
        <f>COUNTIF(Assignments!$H$6:$H$65,Z$4)</f>
        <v/>
      </c>
      <c r="AA27" s="36">
        <f>COUNTIF(Assignments!$H$6:$H$65,AA$4)</f>
        <v/>
      </c>
    </row>
    <row r="28">
      <c r="B28" s="21" t="inlineStr">
        <is>
          <t>Points due</t>
        </is>
      </c>
      <c r="H28" s="37">
        <f>SUMIF(Assignments!$H$6:$H$65,H$4,Assignments!$E$6:$E$65)</f>
        <v/>
      </c>
      <c r="I28" s="37">
        <f>SUMIF(Assignments!$H$6:$H$65,I$4,Assignments!$E$6:$E$65)</f>
        <v/>
      </c>
      <c r="J28" s="37">
        <f>SUMIF(Assignments!$H$6:$H$65,J$4,Assignments!$E$6:$E$65)</f>
        <v/>
      </c>
      <c r="K28" s="37">
        <f>SUMIF(Assignments!$H$6:$H$65,K$4,Assignments!$E$6:$E$65)</f>
        <v/>
      </c>
      <c r="L28" s="37">
        <f>SUMIF(Assignments!$H$6:$H$65,L$4,Assignments!$E$6:$E$65)</f>
        <v/>
      </c>
      <c r="M28" s="37">
        <f>SUMIF(Assignments!$H$6:$H$65,M$4,Assignments!$E$6:$E$65)</f>
        <v/>
      </c>
      <c r="N28" s="37">
        <f>SUMIF(Assignments!$H$6:$H$65,N$4,Assignments!$E$6:$E$65)</f>
        <v/>
      </c>
      <c r="O28" s="37">
        <f>SUMIF(Assignments!$H$6:$H$65,O$4,Assignments!$E$6:$E$65)</f>
        <v/>
      </c>
      <c r="P28" s="37">
        <f>SUMIF(Assignments!$H$6:$H$65,P$4,Assignments!$E$6:$E$65)</f>
        <v/>
      </c>
      <c r="Q28" s="37">
        <f>SUMIF(Assignments!$H$6:$H$65,Q$4,Assignments!$E$6:$E$65)</f>
        <v/>
      </c>
      <c r="R28" s="37">
        <f>SUMIF(Assignments!$H$6:$H$65,R$4,Assignments!$E$6:$E$65)</f>
        <v/>
      </c>
      <c r="S28" s="37">
        <f>SUMIF(Assignments!$H$6:$H$65,S$4,Assignments!$E$6:$E$65)</f>
        <v/>
      </c>
      <c r="T28" s="37">
        <f>SUMIF(Assignments!$H$6:$H$65,T$4,Assignments!$E$6:$E$65)</f>
        <v/>
      </c>
      <c r="U28" s="37">
        <f>SUMIF(Assignments!$H$6:$H$65,U$4,Assignments!$E$6:$E$65)</f>
        <v/>
      </c>
      <c r="V28" s="37">
        <f>SUMIF(Assignments!$H$6:$H$65,V$4,Assignments!$E$6:$E$65)</f>
        <v/>
      </c>
      <c r="W28" s="37">
        <f>SUMIF(Assignments!$H$6:$H$65,W$4,Assignments!$E$6:$E$65)</f>
        <v/>
      </c>
      <c r="X28" s="37">
        <f>SUMIF(Assignments!$H$6:$H$65,X$4,Assignments!$E$6:$E$65)</f>
        <v/>
      </c>
      <c r="Y28" s="37">
        <f>SUMIF(Assignments!$H$6:$H$65,Y$4,Assignments!$E$6:$E$65)</f>
        <v/>
      </c>
      <c r="Z28" s="37">
        <f>SUMIF(Assignments!$H$6:$H$65,Z$4,Assignments!$E$6:$E$65)</f>
        <v/>
      </c>
      <c r="AA28" s="37">
        <f>SUMIF(Assignments!$H$6:$H$65,AA$4,Assignments!$E$6:$E$65)</f>
        <v/>
      </c>
    </row>
  </sheetData>
  <conditionalFormatting sqref="H6:AA25">
    <cfRule type="expression" priority="1" dxfId="1" stopIfTrue="1">
      <formula>AND(ISNUMBER($C6),H$4&gt;=$C6,H$4&lt;=$C6+MAX(1,$D6)-1,H$4=$C$3)</formula>
    </cfRule>
    <cfRule type="expression" priority="2" dxfId="2">
      <formula>AND(ISNUMBER($C6),H$4&gt;=$C6,H$4&lt;=$C6+MAX(1,$D6)-1)</formula>
    </cfRule>
  </conditionalFormatting>
  <conditionalFormatting sqref="H4:AA4">
    <cfRule type="expression" priority="3" dxfId="3">
      <formula>H$4=$C$3</formula>
    </cfRule>
  </conditionalFormatting>
  <conditionalFormatting sqref="H27:AA27">
    <cfRule type="dataBar" priority="4">
      <dataBar>
        <cfvo type="num" val="0"/>
        <cfvo type="max"/>
        <color rgb="009CC3CF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7495A"/>
    <outlinePr summaryBelow="1" summaryRight="1"/>
    <pageSetUpPr/>
  </sheetPr>
  <dimension ref="A1:L6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14" customWidth="1" min="4" max="4"/>
    <col width="8" customWidth="1" min="5" max="5"/>
    <col width="12" customWidth="1" min="6" max="6"/>
    <col width="11" customWidth="1" min="7" max="7"/>
    <col width="6" customWidth="1" min="8" max="8"/>
    <col width="6" customWidth="1" min="9" max="9"/>
    <col width="10" customWidth="1" min="10" max="10"/>
    <col width="10" customWidth="1" min="11" max="11"/>
    <col width="8" customWidth="1" min="12" max="12"/>
  </cols>
  <sheetData>
    <row r="1" ht="30" customHeight="1">
      <c r="A1" s="1" t="inlineStr">
        <is>
          <t>Assignments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Pick a unit and the due date fills in. Type a date only if it differs from the end of the unit.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J3" s="15" t="inlineStr">
        <is>
          <t>Flag below:</t>
        </is>
      </c>
      <c r="K3" s="38">
        <f>Setup!B28</f>
        <v/>
      </c>
    </row>
    <row r="5">
      <c r="A5" s="16" t="inlineStr">
        <is>
          <t>#</t>
        </is>
      </c>
      <c r="B5" s="16" t="inlineStr">
        <is>
          <t>Assignment</t>
        </is>
      </c>
      <c r="C5" s="16" t="inlineStr">
        <is>
          <t>Unit</t>
        </is>
      </c>
      <c r="D5" s="16" t="inlineStr">
        <is>
          <t>Category</t>
        </is>
      </c>
      <c r="E5" s="16" t="inlineStr">
        <is>
          <t>Points</t>
        </is>
      </c>
      <c r="F5" s="16" t="inlineStr">
        <is>
          <t>Due date (optional)</t>
        </is>
      </c>
      <c r="G5" s="16" t="inlineStr">
        <is>
          <t>Due</t>
        </is>
      </c>
      <c r="H5" s="16" t="inlineStr">
        <is>
          <t>Week</t>
        </is>
      </c>
      <c r="I5" s="16" t="inlineStr">
        <is>
          <t>Due?</t>
        </is>
      </c>
      <c r="J5" s="16" t="inlineStr">
        <is>
          <t>Class avg</t>
        </is>
      </c>
      <c r="K5" s="16" t="inlineStr">
        <is>
          <t>Turned in</t>
        </is>
      </c>
      <c r="L5" s="16" t="inlineStr">
        <is>
          <t>Missing</t>
        </is>
      </c>
    </row>
    <row r="6">
      <c r="A6" s="6" t="n">
        <v>1</v>
      </c>
      <c r="B6" s="22" t="inlineStr">
        <is>
          <t>Foundations: HW A</t>
        </is>
      </c>
      <c r="C6" s="22" t="inlineStr">
        <is>
          <t>Foundations</t>
        </is>
      </c>
      <c r="D6" s="22" t="inlineStr">
        <is>
          <t>Homework</t>
        </is>
      </c>
      <c r="E6" s="24" t="n">
        <v>10</v>
      </c>
      <c r="F6" s="23" t="n">
        <v>46254</v>
      </c>
      <c r="G6" s="33">
        <f>IF(B6="","",IF(F6&lt;&gt;"",F6,IFERROR(INDEX(Pacing!$F$6:$F$25,MATCH(C6,Pacing!$B$6:$B$25,0)),"")))</f>
        <v/>
      </c>
      <c r="H6" s="34">
        <f>IF(G6="","",INT((G6-Setup!$B$6)/7)+1)</f>
        <v/>
      </c>
      <c r="I6" s="39">
        <f>IF(AND(B6&lt;&gt;"",G6&lt;&gt;""),IF(G6&lt;=Setup!$B$8,1,0),0)</f>
        <v/>
      </c>
      <c r="J6" s="40">
        <f>IF(OR(B6="",N(E6)=0),"",IFERROR(AVERAGE(Gradebook!M$10:M$49)/E6,""))</f>
        <v/>
      </c>
      <c r="K6" s="40">
        <f>IF(I6&lt;&gt;1,"",IFERROR(COUNT(Gradebook!M$10:M$49)/(SUMPRODUCT(--(Gradebook!$B$10:$B$49&lt;&gt;""))-COUNTIF(Gradebook!M$10:M$49,"EX")),""))</f>
        <v/>
      </c>
      <c r="L6" s="41">
        <f>IF(B6="","",IF(I6=1,SUMPRODUCT((Gradebook!$B$10:$B$49&lt;&gt;"")*(Gradebook!M$10:M$49="")),0)+COUNTIF(Gradebook!M$10:M$49,"M"))</f>
        <v/>
      </c>
    </row>
    <row r="7">
      <c r="A7" s="6" t="n">
        <v>2</v>
      </c>
      <c r="B7" s="22" t="inlineStr">
        <is>
          <t>Foundations: HW B</t>
        </is>
      </c>
      <c r="C7" s="22" t="inlineStr">
        <is>
          <t>Foundations</t>
        </is>
      </c>
      <c r="D7" s="22" t="inlineStr">
        <is>
          <t>Homework</t>
        </is>
      </c>
      <c r="E7" s="24" t="n">
        <v>10</v>
      </c>
      <c r="F7" s="23" t="n">
        <v>46261</v>
      </c>
      <c r="G7" s="33">
        <f>IF(B7="","",IF(F7&lt;&gt;"",F7,IFERROR(INDEX(Pacing!$F$6:$F$25,MATCH(C7,Pacing!$B$6:$B$25,0)),"")))</f>
        <v/>
      </c>
      <c r="H7" s="34">
        <f>IF(G7="","",INT((G7-Setup!$B$6)/7)+1)</f>
        <v/>
      </c>
      <c r="I7" s="39">
        <f>IF(AND(B7&lt;&gt;"",G7&lt;&gt;""),IF(G7&lt;=Setup!$B$8,1,0),0)</f>
        <v/>
      </c>
      <c r="J7" s="40">
        <f>IF(OR(B7="",N(E7)=0),"",IFERROR(AVERAGE(Gradebook!N$10:N$49)/E7,""))</f>
        <v/>
      </c>
      <c r="K7" s="40">
        <f>IF(I7&lt;&gt;1,"",IFERROR(COUNT(Gradebook!N$10:N$49)/(SUMPRODUCT(--(Gradebook!$B$10:$B$49&lt;&gt;""))-COUNTIF(Gradebook!N$10:N$49,"EX")),""))</f>
        <v/>
      </c>
      <c r="L7" s="41">
        <f>IF(B7="","",IF(I7=1,SUMPRODUCT((Gradebook!$B$10:$B$49&lt;&gt;"")*(Gradebook!N$10:N$49="")),0)+COUNTIF(Gradebook!N$10:N$49,"M"))</f>
        <v/>
      </c>
    </row>
    <row r="8">
      <c r="A8" s="6" t="n">
        <v>3</v>
      </c>
      <c r="B8" s="22" t="inlineStr">
        <is>
          <t>Foundations: Quiz</t>
        </is>
      </c>
      <c r="C8" s="22" t="inlineStr">
        <is>
          <t>Foundations</t>
        </is>
      </c>
      <c r="D8" s="22" t="inlineStr">
        <is>
          <t>Quizzes</t>
        </is>
      </c>
      <c r="E8" s="24" t="n">
        <v>25</v>
      </c>
      <c r="F8" s="23" t="n">
        <v>46262</v>
      </c>
      <c r="G8" s="33">
        <f>IF(B8="","",IF(F8&lt;&gt;"",F8,IFERROR(INDEX(Pacing!$F$6:$F$25,MATCH(C8,Pacing!$B$6:$B$25,0)),"")))</f>
        <v/>
      </c>
      <c r="H8" s="34">
        <f>IF(G8="","",INT((G8-Setup!$B$6)/7)+1)</f>
        <v/>
      </c>
      <c r="I8" s="39">
        <f>IF(AND(B8&lt;&gt;"",G8&lt;&gt;""),IF(G8&lt;=Setup!$B$8,1,0),0)</f>
        <v/>
      </c>
      <c r="J8" s="40">
        <f>IF(OR(B8="",N(E8)=0),"",IFERROR(AVERAGE(Gradebook!O$10:O$49)/E8,""))</f>
        <v/>
      </c>
      <c r="K8" s="40">
        <f>IF(I8&lt;&gt;1,"",IFERROR(COUNT(Gradebook!O$10:O$49)/(SUMPRODUCT(--(Gradebook!$B$10:$B$49&lt;&gt;""))-COUNTIF(Gradebook!O$10:O$49,"EX")),""))</f>
        <v/>
      </c>
      <c r="L8" s="41">
        <f>IF(B8="","",IF(I8=1,SUMPRODUCT((Gradebook!$B$10:$B$49&lt;&gt;"")*(Gradebook!O$10:O$49="")),0)+COUNTIF(Gradebook!O$10:O$49,"M"))</f>
        <v/>
      </c>
    </row>
    <row r="9">
      <c r="A9" s="6" t="n">
        <v>4</v>
      </c>
      <c r="B9" s="22" t="inlineStr">
        <is>
          <t>Foundations: Participation</t>
        </is>
      </c>
      <c r="C9" s="22" t="inlineStr">
        <is>
          <t>Foundations</t>
        </is>
      </c>
      <c r="D9" s="22" t="inlineStr">
        <is>
          <t>Participation</t>
        </is>
      </c>
      <c r="E9" s="24" t="n">
        <v>10</v>
      </c>
      <c r="F9" s="23" t="n"/>
      <c r="G9" s="33">
        <f>IF(B9="","",IF(F9&lt;&gt;"",F9,IFERROR(INDEX(Pacing!$F$6:$F$25,MATCH(C9,Pacing!$B$6:$B$25,0)),"")))</f>
        <v/>
      </c>
      <c r="H9" s="34">
        <f>IF(G9="","",INT((G9-Setup!$B$6)/7)+1)</f>
        <v/>
      </c>
      <c r="I9" s="39">
        <f>IF(AND(B9&lt;&gt;"",G9&lt;&gt;""),IF(G9&lt;=Setup!$B$8,1,0),0)</f>
        <v/>
      </c>
      <c r="J9" s="40">
        <f>IF(OR(B9="",N(E9)=0),"",IFERROR(AVERAGE(Gradebook!P$10:P$49)/E9,""))</f>
        <v/>
      </c>
      <c r="K9" s="40">
        <f>IF(I9&lt;&gt;1,"",IFERROR(COUNT(Gradebook!P$10:P$49)/(SUMPRODUCT(--(Gradebook!$B$10:$B$49&lt;&gt;""))-COUNTIF(Gradebook!P$10:P$49,"EX")),""))</f>
        <v/>
      </c>
      <c r="L9" s="41">
        <f>IF(B9="","",IF(I9=1,SUMPRODUCT((Gradebook!$B$10:$B$49&lt;&gt;"")*(Gradebook!P$10:P$49="")),0)+COUNTIF(Gradebook!P$10:P$49,"M"))</f>
        <v/>
      </c>
    </row>
    <row r="10">
      <c r="A10" s="6" t="n">
        <v>5</v>
      </c>
      <c r="B10" s="22" t="inlineStr">
        <is>
          <t>Foundations: Test</t>
        </is>
      </c>
      <c r="C10" s="22" t="inlineStr">
        <is>
          <t>Foundations</t>
        </is>
      </c>
      <c r="D10" s="22" t="inlineStr">
        <is>
          <t>Tests</t>
        </is>
      </c>
      <c r="E10" s="24" t="n">
        <v>100</v>
      </c>
      <c r="F10" s="23" t="n"/>
      <c r="G10" s="33">
        <f>IF(B10="","",IF(F10&lt;&gt;"",F10,IFERROR(INDEX(Pacing!$F$6:$F$25,MATCH(C10,Pacing!$B$6:$B$25,0)),"")))</f>
        <v/>
      </c>
      <c r="H10" s="34">
        <f>IF(G10="","",INT((G10-Setup!$B$6)/7)+1)</f>
        <v/>
      </c>
      <c r="I10" s="39">
        <f>IF(AND(B10&lt;&gt;"",G10&lt;&gt;""),IF(G10&lt;=Setup!$B$8,1,0),0)</f>
        <v/>
      </c>
      <c r="J10" s="40">
        <f>IF(OR(B10="",N(E10)=0),"",IFERROR(AVERAGE(Gradebook!Q$10:Q$49)/E10,""))</f>
        <v/>
      </c>
      <c r="K10" s="40">
        <f>IF(I10&lt;&gt;1,"",IFERROR(COUNT(Gradebook!Q$10:Q$49)/(SUMPRODUCT(--(Gradebook!$B$10:$B$49&lt;&gt;""))-COUNTIF(Gradebook!Q$10:Q$49,"EX")),""))</f>
        <v/>
      </c>
      <c r="L10" s="41">
        <f>IF(B10="","",IF(I10=1,SUMPRODUCT((Gradebook!$B$10:$B$49&lt;&gt;"")*(Gradebook!Q$10:Q$49="")),0)+COUNTIF(Gradebook!Q$10:Q$49,"M"))</f>
        <v/>
      </c>
    </row>
    <row r="11">
      <c r="A11" s="6" t="n">
        <v>6</v>
      </c>
      <c r="B11" s="22" t="inlineStr">
        <is>
          <t>Linear Equations: HW A</t>
        </is>
      </c>
      <c r="C11" s="22" t="inlineStr">
        <is>
          <t>Linear Equations</t>
        </is>
      </c>
      <c r="D11" s="22" t="inlineStr">
        <is>
          <t>Homework</t>
        </is>
      </c>
      <c r="E11" s="24" t="n">
        <v>10</v>
      </c>
      <c r="F11" s="23" t="n">
        <v>46275</v>
      </c>
      <c r="G11" s="33">
        <f>IF(B11="","",IF(F11&lt;&gt;"",F11,IFERROR(INDEX(Pacing!$F$6:$F$25,MATCH(C11,Pacing!$B$6:$B$25,0)),"")))</f>
        <v/>
      </c>
      <c r="H11" s="34">
        <f>IF(G11="","",INT((G11-Setup!$B$6)/7)+1)</f>
        <v/>
      </c>
      <c r="I11" s="39">
        <f>IF(AND(B11&lt;&gt;"",G11&lt;&gt;""),IF(G11&lt;=Setup!$B$8,1,0),0)</f>
        <v/>
      </c>
      <c r="J11" s="40">
        <f>IF(OR(B11="",N(E11)=0),"",IFERROR(AVERAGE(Gradebook!R$10:R$49)/E11,""))</f>
        <v/>
      </c>
      <c r="K11" s="40">
        <f>IF(I11&lt;&gt;1,"",IFERROR(COUNT(Gradebook!R$10:R$49)/(SUMPRODUCT(--(Gradebook!$B$10:$B$49&lt;&gt;""))-COUNTIF(Gradebook!R$10:R$49,"EX")),""))</f>
        <v/>
      </c>
      <c r="L11" s="41">
        <f>IF(B11="","",IF(I11=1,SUMPRODUCT((Gradebook!$B$10:$B$49&lt;&gt;"")*(Gradebook!R$10:R$49="")),0)+COUNTIF(Gradebook!R$10:R$49,"M"))</f>
        <v/>
      </c>
    </row>
    <row r="12">
      <c r="A12" s="6" t="n">
        <v>7</v>
      </c>
      <c r="B12" s="22" t="inlineStr">
        <is>
          <t>Linear Equations: HW B</t>
        </is>
      </c>
      <c r="C12" s="22" t="inlineStr">
        <is>
          <t>Linear Equations</t>
        </is>
      </c>
      <c r="D12" s="22" t="inlineStr">
        <is>
          <t>Homework</t>
        </is>
      </c>
      <c r="E12" s="24" t="n">
        <v>10</v>
      </c>
      <c r="F12" s="23" t="n">
        <v>46282</v>
      </c>
      <c r="G12" s="33">
        <f>IF(B12="","",IF(F12&lt;&gt;"",F12,IFERROR(INDEX(Pacing!$F$6:$F$25,MATCH(C12,Pacing!$B$6:$B$25,0)),"")))</f>
        <v/>
      </c>
      <c r="H12" s="34">
        <f>IF(G12="","",INT((G12-Setup!$B$6)/7)+1)</f>
        <v/>
      </c>
      <c r="I12" s="39">
        <f>IF(AND(B12&lt;&gt;"",G12&lt;&gt;""),IF(G12&lt;=Setup!$B$8,1,0),0)</f>
        <v/>
      </c>
      <c r="J12" s="40">
        <f>IF(OR(B12="",N(E12)=0),"",IFERROR(AVERAGE(Gradebook!S$10:S$49)/E12,""))</f>
        <v/>
      </c>
      <c r="K12" s="40">
        <f>IF(I12&lt;&gt;1,"",IFERROR(COUNT(Gradebook!S$10:S$49)/(SUMPRODUCT(--(Gradebook!$B$10:$B$49&lt;&gt;""))-COUNTIF(Gradebook!S$10:S$49,"EX")),""))</f>
        <v/>
      </c>
      <c r="L12" s="41">
        <f>IF(B12="","",IF(I12=1,SUMPRODUCT((Gradebook!$B$10:$B$49&lt;&gt;"")*(Gradebook!S$10:S$49="")),0)+COUNTIF(Gradebook!S$10:S$49,"M"))</f>
        <v/>
      </c>
    </row>
    <row r="13">
      <c r="A13" s="6" t="n">
        <v>8</v>
      </c>
      <c r="B13" s="22" t="inlineStr">
        <is>
          <t>Linear Equations: Quiz</t>
        </is>
      </c>
      <c r="C13" s="22" t="inlineStr">
        <is>
          <t>Linear Equations</t>
        </is>
      </c>
      <c r="D13" s="22" t="inlineStr">
        <is>
          <t>Quizzes</t>
        </is>
      </c>
      <c r="E13" s="24" t="n">
        <v>25</v>
      </c>
      <c r="F13" s="23" t="n">
        <v>46283</v>
      </c>
      <c r="G13" s="33">
        <f>IF(B13="","",IF(F13&lt;&gt;"",F13,IFERROR(INDEX(Pacing!$F$6:$F$25,MATCH(C13,Pacing!$B$6:$B$25,0)),"")))</f>
        <v/>
      </c>
      <c r="H13" s="34">
        <f>IF(G13="","",INT((G13-Setup!$B$6)/7)+1)</f>
        <v/>
      </c>
      <c r="I13" s="39">
        <f>IF(AND(B13&lt;&gt;"",G13&lt;&gt;""),IF(G13&lt;=Setup!$B$8,1,0),0)</f>
        <v/>
      </c>
      <c r="J13" s="40">
        <f>IF(OR(B13="",N(E13)=0),"",IFERROR(AVERAGE(Gradebook!T$10:T$49)/E13,""))</f>
        <v/>
      </c>
      <c r="K13" s="40">
        <f>IF(I13&lt;&gt;1,"",IFERROR(COUNT(Gradebook!T$10:T$49)/(SUMPRODUCT(--(Gradebook!$B$10:$B$49&lt;&gt;""))-COUNTIF(Gradebook!T$10:T$49,"EX")),""))</f>
        <v/>
      </c>
      <c r="L13" s="41">
        <f>IF(B13="","",IF(I13=1,SUMPRODUCT((Gradebook!$B$10:$B$49&lt;&gt;"")*(Gradebook!T$10:T$49="")),0)+COUNTIF(Gradebook!T$10:T$49,"M"))</f>
        <v/>
      </c>
    </row>
    <row r="14">
      <c r="A14" s="6" t="n">
        <v>9</v>
      </c>
      <c r="B14" s="22" t="inlineStr">
        <is>
          <t>Linear Equations: Participation</t>
        </is>
      </c>
      <c r="C14" s="22" t="inlineStr">
        <is>
          <t>Linear Equations</t>
        </is>
      </c>
      <c r="D14" s="22" t="inlineStr">
        <is>
          <t>Participation</t>
        </is>
      </c>
      <c r="E14" s="24" t="n">
        <v>10</v>
      </c>
      <c r="F14" s="23" t="n"/>
      <c r="G14" s="33">
        <f>IF(B14="","",IF(F14&lt;&gt;"",F14,IFERROR(INDEX(Pacing!$F$6:$F$25,MATCH(C14,Pacing!$B$6:$B$25,0)),"")))</f>
        <v/>
      </c>
      <c r="H14" s="34">
        <f>IF(G14="","",INT((G14-Setup!$B$6)/7)+1)</f>
        <v/>
      </c>
      <c r="I14" s="39">
        <f>IF(AND(B14&lt;&gt;"",G14&lt;&gt;""),IF(G14&lt;=Setup!$B$8,1,0),0)</f>
        <v/>
      </c>
      <c r="J14" s="40">
        <f>IF(OR(B14="",N(E14)=0),"",IFERROR(AVERAGE(Gradebook!U$10:U$49)/E14,""))</f>
        <v/>
      </c>
      <c r="K14" s="40">
        <f>IF(I14&lt;&gt;1,"",IFERROR(COUNT(Gradebook!U$10:U$49)/(SUMPRODUCT(--(Gradebook!$B$10:$B$49&lt;&gt;""))-COUNTIF(Gradebook!U$10:U$49,"EX")),""))</f>
        <v/>
      </c>
      <c r="L14" s="41">
        <f>IF(B14="","",IF(I14=1,SUMPRODUCT((Gradebook!$B$10:$B$49&lt;&gt;"")*(Gradebook!U$10:U$49="")),0)+COUNTIF(Gradebook!U$10:U$49,"M"))</f>
        <v/>
      </c>
    </row>
    <row r="15">
      <c r="A15" s="6" t="n">
        <v>10</v>
      </c>
      <c r="B15" s="22" t="inlineStr">
        <is>
          <t>Linear Equations: Test</t>
        </is>
      </c>
      <c r="C15" s="22" t="inlineStr">
        <is>
          <t>Linear Equations</t>
        </is>
      </c>
      <c r="D15" s="22" t="inlineStr">
        <is>
          <t>Tests</t>
        </is>
      </c>
      <c r="E15" s="24" t="n">
        <v>100</v>
      </c>
      <c r="F15" s="23" t="n"/>
      <c r="G15" s="33">
        <f>IF(B15="","",IF(F15&lt;&gt;"",F15,IFERROR(INDEX(Pacing!$F$6:$F$25,MATCH(C15,Pacing!$B$6:$B$25,0)),"")))</f>
        <v/>
      </c>
      <c r="H15" s="34">
        <f>IF(G15="","",INT((G15-Setup!$B$6)/7)+1)</f>
        <v/>
      </c>
      <c r="I15" s="39">
        <f>IF(AND(B15&lt;&gt;"",G15&lt;&gt;""),IF(G15&lt;=Setup!$B$8,1,0),0)</f>
        <v/>
      </c>
      <c r="J15" s="40">
        <f>IF(OR(B15="",N(E15)=0),"",IFERROR(AVERAGE(Gradebook!V$10:V$49)/E15,""))</f>
        <v/>
      </c>
      <c r="K15" s="40">
        <f>IF(I15&lt;&gt;1,"",IFERROR(COUNT(Gradebook!V$10:V$49)/(SUMPRODUCT(--(Gradebook!$B$10:$B$49&lt;&gt;""))-COUNTIF(Gradebook!V$10:V$49,"EX")),""))</f>
        <v/>
      </c>
      <c r="L15" s="41">
        <f>IF(B15="","",IF(I15=1,SUMPRODUCT((Gradebook!$B$10:$B$49&lt;&gt;"")*(Gradebook!V$10:V$49="")),0)+COUNTIF(Gradebook!V$10:V$49,"M"))</f>
        <v/>
      </c>
    </row>
    <row r="16">
      <c r="A16" s="6" t="n">
        <v>11</v>
      </c>
      <c r="B16" s="22" t="inlineStr">
        <is>
          <t>Functions: HW A</t>
        </is>
      </c>
      <c r="C16" s="22" t="inlineStr">
        <is>
          <t>Functions</t>
        </is>
      </c>
      <c r="D16" s="22" t="inlineStr">
        <is>
          <t>Homework</t>
        </is>
      </c>
      <c r="E16" s="24" t="n">
        <v>10</v>
      </c>
      <c r="F16" s="23" t="n">
        <v>46296</v>
      </c>
      <c r="G16" s="33">
        <f>IF(B16="","",IF(F16&lt;&gt;"",F16,IFERROR(INDEX(Pacing!$F$6:$F$25,MATCH(C16,Pacing!$B$6:$B$25,0)),"")))</f>
        <v/>
      </c>
      <c r="H16" s="34">
        <f>IF(G16="","",INT((G16-Setup!$B$6)/7)+1)</f>
        <v/>
      </c>
      <c r="I16" s="39">
        <f>IF(AND(B16&lt;&gt;"",G16&lt;&gt;""),IF(G16&lt;=Setup!$B$8,1,0),0)</f>
        <v/>
      </c>
      <c r="J16" s="40">
        <f>IF(OR(B16="",N(E16)=0),"",IFERROR(AVERAGE(Gradebook!W$10:W$49)/E16,""))</f>
        <v/>
      </c>
      <c r="K16" s="40">
        <f>IF(I16&lt;&gt;1,"",IFERROR(COUNT(Gradebook!W$10:W$49)/(SUMPRODUCT(--(Gradebook!$B$10:$B$49&lt;&gt;""))-COUNTIF(Gradebook!W$10:W$49,"EX")),""))</f>
        <v/>
      </c>
      <c r="L16" s="41">
        <f>IF(B16="","",IF(I16=1,SUMPRODUCT((Gradebook!$B$10:$B$49&lt;&gt;"")*(Gradebook!W$10:W$49="")),0)+COUNTIF(Gradebook!W$10:W$49,"M"))</f>
        <v/>
      </c>
    </row>
    <row r="17">
      <c r="A17" s="6" t="n">
        <v>12</v>
      </c>
      <c r="B17" s="22" t="inlineStr">
        <is>
          <t>Functions: HW B</t>
        </is>
      </c>
      <c r="C17" s="22" t="inlineStr">
        <is>
          <t>Functions</t>
        </is>
      </c>
      <c r="D17" s="22" t="inlineStr">
        <is>
          <t>Homework</t>
        </is>
      </c>
      <c r="E17" s="24" t="n">
        <v>10</v>
      </c>
      <c r="F17" s="23" t="n">
        <v>46303</v>
      </c>
      <c r="G17" s="33">
        <f>IF(B17="","",IF(F17&lt;&gt;"",F17,IFERROR(INDEX(Pacing!$F$6:$F$25,MATCH(C17,Pacing!$B$6:$B$25,0)),"")))</f>
        <v/>
      </c>
      <c r="H17" s="34">
        <f>IF(G17="","",INT((G17-Setup!$B$6)/7)+1)</f>
        <v/>
      </c>
      <c r="I17" s="39">
        <f>IF(AND(B17&lt;&gt;"",G17&lt;&gt;""),IF(G17&lt;=Setup!$B$8,1,0),0)</f>
        <v/>
      </c>
      <c r="J17" s="40">
        <f>IF(OR(B17="",N(E17)=0),"",IFERROR(AVERAGE(Gradebook!X$10:X$49)/E17,""))</f>
        <v/>
      </c>
      <c r="K17" s="40">
        <f>IF(I17&lt;&gt;1,"",IFERROR(COUNT(Gradebook!X$10:X$49)/(SUMPRODUCT(--(Gradebook!$B$10:$B$49&lt;&gt;""))-COUNTIF(Gradebook!X$10:X$49,"EX")),""))</f>
        <v/>
      </c>
      <c r="L17" s="41">
        <f>IF(B17="","",IF(I17=1,SUMPRODUCT((Gradebook!$B$10:$B$49&lt;&gt;"")*(Gradebook!X$10:X$49="")),0)+COUNTIF(Gradebook!X$10:X$49,"M"))</f>
        <v/>
      </c>
    </row>
    <row r="18">
      <c r="A18" s="6" t="n">
        <v>13</v>
      </c>
      <c r="B18" s="22" t="inlineStr">
        <is>
          <t>Functions: Quiz</t>
        </is>
      </c>
      <c r="C18" s="22" t="inlineStr">
        <is>
          <t>Functions</t>
        </is>
      </c>
      <c r="D18" s="22" t="inlineStr">
        <is>
          <t>Quizzes</t>
        </is>
      </c>
      <c r="E18" s="24" t="n">
        <v>25</v>
      </c>
      <c r="F18" s="23" t="n">
        <v>46304</v>
      </c>
      <c r="G18" s="33">
        <f>IF(B18="","",IF(F18&lt;&gt;"",F18,IFERROR(INDEX(Pacing!$F$6:$F$25,MATCH(C18,Pacing!$B$6:$B$25,0)),"")))</f>
        <v/>
      </c>
      <c r="H18" s="34">
        <f>IF(G18="","",INT((G18-Setup!$B$6)/7)+1)</f>
        <v/>
      </c>
      <c r="I18" s="39">
        <f>IF(AND(B18&lt;&gt;"",G18&lt;&gt;""),IF(G18&lt;=Setup!$B$8,1,0),0)</f>
        <v/>
      </c>
      <c r="J18" s="40">
        <f>IF(OR(B18="",N(E18)=0),"",IFERROR(AVERAGE(Gradebook!Y$10:Y$49)/E18,""))</f>
        <v/>
      </c>
      <c r="K18" s="40">
        <f>IF(I18&lt;&gt;1,"",IFERROR(COUNT(Gradebook!Y$10:Y$49)/(SUMPRODUCT(--(Gradebook!$B$10:$B$49&lt;&gt;""))-COUNTIF(Gradebook!Y$10:Y$49,"EX")),""))</f>
        <v/>
      </c>
      <c r="L18" s="41">
        <f>IF(B18="","",IF(I18=1,SUMPRODUCT((Gradebook!$B$10:$B$49&lt;&gt;"")*(Gradebook!Y$10:Y$49="")),0)+COUNTIF(Gradebook!Y$10:Y$49,"M"))</f>
        <v/>
      </c>
    </row>
    <row r="19">
      <c r="A19" s="6" t="n">
        <v>14</v>
      </c>
      <c r="B19" s="22" t="inlineStr">
        <is>
          <t>Functions Project</t>
        </is>
      </c>
      <c r="C19" s="22" t="inlineStr">
        <is>
          <t>Functions</t>
        </is>
      </c>
      <c r="D19" s="22" t="inlineStr">
        <is>
          <t>Projects</t>
        </is>
      </c>
      <c r="E19" s="24" t="n">
        <v>50</v>
      </c>
      <c r="F19" s="23" t="n"/>
      <c r="G19" s="33">
        <f>IF(B19="","",IF(F19&lt;&gt;"",F19,IFERROR(INDEX(Pacing!$F$6:$F$25,MATCH(C19,Pacing!$B$6:$B$25,0)),"")))</f>
        <v/>
      </c>
      <c r="H19" s="34">
        <f>IF(G19="","",INT((G19-Setup!$B$6)/7)+1)</f>
        <v/>
      </c>
      <c r="I19" s="39">
        <f>IF(AND(B19&lt;&gt;"",G19&lt;&gt;""),IF(G19&lt;=Setup!$B$8,1,0),0)</f>
        <v/>
      </c>
      <c r="J19" s="40">
        <f>IF(OR(B19="",N(E19)=0),"",IFERROR(AVERAGE(Gradebook!Z$10:Z$49)/E19,""))</f>
        <v/>
      </c>
      <c r="K19" s="40">
        <f>IF(I19&lt;&gt;1,"",IFERROR(COUNT(Gradebook!Z$10:Z$49)/(SUMPRODUCT(--(Gradebook!$B$10:$B$49&lt;&gt;""))-COUNTIF(Gradebook!Z$10:Z$49,"EX")),""))</f>
        <v/>
      </c>
      <c r="L19" s="41">
        <f>IF(B19="","",IF(I19=1,SUMPRODUCT((Gradebook!$B$10:$B$49&lt;&gt;"")*(Gradebook!Z$10:Z$49="")),0)+COUNTIF(Gradebook!Z$10:Z$49,"M"))</f>
        <v/>
      </c>
    </row>
    <row r="20">
      <c r="A20" s="6" t="n">
        <v>15</v>
      </c>
      <c r="B20" s="22" t="inlineStr">
        <is>
          <t>Functions: Participation</t>
        </is>
      </c>
      <c r="C20" s="22" t="inlineStr">
        <is>
          <t>Functions</t>
        </is>
      </c>
      <c r="D20" s="22" t="inlineStr">
        <is>
          <t>Participation</t>
        </is>
      </c>
      <c r="E20" s="24" t="n">
        <v>10</v>
      </c>
      <c r="F20" s="23" t="n"/>
      <c r="G20" s="33">
        <f>IF(B20="","",IF(F20&lt;&gt;"",F20,IFERROR(INDEX(Pacing!$F$6:$F$25,MATCH(C20,Pacing!$B$6:$B$25,0)),"")))</f>
        <v/>
      </c>
      <c r="H20" s="34">
        <f>IF(G20="","",INT((G20-Setup!$B$6)/7)+1)</f>
        <v/>
      </c>
      <c r="I20" s="39">
        <f>IF(AND(B20&lt;&gt;"",G20&lt;&gt;""),IF(G20&lt;=Setup!$B$8,1,0),0)</f>
        <v/>
      </c>
      <c r="J20" s="40">
        <f>IF(OR(B20="",N(E20)=0),"",IFERROR(AVERAGE(Gradebook!AA$10:AA$49)/E20,""))</f>
        <v/>
      </c>
      <c r="K20" s="40">
        <f>IF(I20&lt;&gt;1,"",IFERROR(COUNT(Gradebook!AA$10:AA$49)/(SUMPRODUCT(--(Gradebook!$B$10:$B$49&lt;&gt;""))-COUNTIF(Gradebook!AA$10:AA$49,"EX")),""))</f>
        <v/>
      </c>
      <c r="L20" s="41">
        <f>IF(B20="","",IF(I20=1,SUMPRODUCT((Gradebook!$B$10:$B$49&lt;&gt;"")*(Gradebook!AA$10:AA$49="")),0)+COUNTIF(Gradebook!AA$10:AA$49,"M"))</f>
        <v/>
      </c>
    </row>
    <row r="21">
      <c r="A21" s="6" t="n">
        <v>16</v>
      </c>
      <c r="B21" s="22" t="inlineStr">
        <is>
          <t>Functions: Test</t>
        </is>
      </c>
      <c r="C21" s="22" t="inlineStr">
        <is>
          <t>Functions</t>
        </is>
      </c>
      <c r="D21" s="22" t="inlineStr">
        <is>
          <t>Tests</t>
        </is>
      </c>
      <c r="E21" s="24" t="n">
        <v>100</v>
      </c>
      <c r="F21" s="23" t="n"/>
      <c r="G21" s="33">
        <f>IF(B21="","",IF(F21&lt;&gt;"",F21,IFERROR(INDEX(Pacing!$F$6:$F$25,MATCH(C21,Pacing!$B$6:$B$25,0)),"")))</f>
        <v/>
      </c>
      <c r="H21" s="34">
        <f>IF(G21="","",INT((G21-Setup!$B$6)/7)+1)</f>
        <v/>
      </c>
      <c r="I21" s="39">
        <f>IF(AND(B21&lt;&gt;"",G21&lt;&gt;""),IF(G21&lt;=Setup!$B$8,1,0),0)</f>
        <v/>
      </c>
      <c r="J21" s="40">
        <f>IF(OR(B21="",N(E21)=0),"",IFERROR(AVERAGE(Gradebook!AB$10:AB$49)/E21,""))</f>
        <v/>
      </c>
      <c r="K21" s="40">
        <f>IF(I21&lt;&gt;1,"",IFERROR(COUNT(Gradebook!AB$10:AB$49)/(SUMPRODUCT(--(Gradebook!$B$10:$B$49&lt;&gt;""))-COUNTIF(Gradebook!AB$10:AB$49,"EX")),""))</f>
        <v/>
      </c>
      <c r="L21" s="41">
        <f>IF(B21="","",IF(I21=1,SUMPRODUCT((Gradebook!$B$10:$B$49&lt;&gt;"")*(Gradebook!AB$10:AB$49="")),0)+COUNTIF(Gradebook!AB$10:AB$49,"M"))</f>
        <v/>
      </c>
    </row>
    <row r="22">
      <c r="A22" s="6" t="n">
        <v>17</v>
      </c>
      <c r="B22" s="22" t="inlineStr">
        <is>
          <t>Midterm Review Packet</t>
        </is>
      </c>
      <c r="C22" s="22" t="inlineStr">
        <is>
          <t>Midterm Review</t>
        </is>
      </c>
      <c r="D22" s="22" t="inlineStr">
        <is>
          <t>Homework</t>
        </is>
      </c>
      <c r="E22" s="24" t="n">
        <v>20</v>
      </c>
      <c r="F22" s="23" t="n"/>
      <c r="G22" s="33">
        <f>IF(B22="","",IF(F22&lt;&gt;"",F22,IFERROR(INDEX(Pacing!$F$6:$F$25,MATCH(C22,Pacing!$B$6:$B$25,0)),"")))</f>
        <v/>
      </c>
      <c r="H22" s="34">
        <f>IF(G22="","",INT((G22-Setup!$B$6)/7)+1)</f>
        <v/>
      </c>
      <c r="I22" s="39">
        <f>IF(AND(B22&lt;&gt;"",G22&lt;&gt;""),IF(G22&lt;=Setup!$B$8,1,0),0)</f>
        <v/>
      </c>
      <c r="J22" s="40">
        <f>IF(OR(B22="",N(E22)=0),"",IFERROR(AVERAGE(Gradebook!AC$10:AC$49)/E22,""))</f>
        <v/>
      </c>
      <c r="K22" s="40">
        <f>IF(I22&lt;&gt;1,"",IFERROR(COUNT(Gradebook!AC$10:AC$49)/(SUMPRODUCT(--(Gradebook!$B$10:$B$49&lt;&gt;""))-COUNTIF(Gradebook!AC$10:AC$49,"EX")),""))</f>
        <v/>
      </c>
      <c r="L22" s="41">
        <f>IF(B22="","",IF(I22=1,SUMPRODUCT((Gradebook!$B$10:$B$49&lt;&gt;"")*(Gradebook!AC$10:AC$49="")),0)+COUNTIF(Gradebook!AC$10:AC$49,"M"))</f>
        <v/>
      </c>
    </row>
    <row r="23">
      <c r="A23" s="6" t="n">
        <v>18</v>
      </c>
      <c r="B23" s="22" t="inlineStr">
        <is>
          <t>Midterm Exam</t>
        </is>
      </c>
      <c r="C23" s="22" t="inlineStr">
        <is>
          <t>Midterm Review</t>
        </is>
      </c>
      <c r="D23" s="22" t="inlineStr">
        <is>
          <t>Tests</t>
        </is>
      </c>
      <c r="E23" s="24" t="n">
        <v>100</v>
      </c>
      <c r="F23" s="23" t="n"/>
      <c r="G23" s="33">
        <f>IF(B23="","",IF(F23&lt;&gt;"",F23,IFERROR(INDEX(Pacing!$F$6:$F$25,MATCH(C23,Pacing!$B$6:$B$25,0)),"")))</f>
        <v/>
      </c>
      <c r="H23" s="34">
        <f>IF(G23="","",INT((G23-Setup!$B$6)/7)+1)</f>
        <v/>
      </c>
      <c r="I23" s="39">
        <f>IF(AND(B23&lt;&gt;"",G23&lt;&gt;""),IF(G23&lt;=Setup!$B$8,1,0),0)</f>
        <v/>
      </c>
      <c r="J23" s="40">
        <f>IF(OR(B23="",N(E23)=0),"",IFERROR(AVERAGE(Gradebook!AD$10:AD$49)/E23,""))</f>
        <v/>
      </c>
      <c r="K23" s="40">
        <f>IF(I23&lt;&gt;1,"",IFERROR(COUNT(Gradebook!AD$10:AD$49)/(SUMPRODUCT(--(Gradebook!$B$10:$B$49&lt;&gt;""))-COUNTIF(Gradebook!AD$10:AD$49,"EX")),""))</f>
        <v/>
      </c>
      <c r="L23" s="41">
        <f>IF(B23="","",IF(I23=1,SUMPRODUCT((Gradebook!$B$10:$B$49&lt;&gt;"")*(Gradebook!AD$10:AD$49="")),0)+COUNTIF(Gradebook!AD$10:AD$49,"M"))</f>
        <v/>
      </c>
    </row>
    <row r="24">
      <c r="A24" s="6" t="n">
        <v>19</v>
      </c>
      <c r="B24" s="22" t="inlineStr">
        <is>
          <t>Systems of Equations: HW A</t>
        </is>
      </c>
      <c r="C24" s="22" t="inlineStr">
        <is>
          <t>Systems of Equations</t>
        </is>
      </c>
      <c r="D24" s="22" t="inlineStr">
        <is>
          <t>Homework</t>
        </is>
      </c>
      <c r="E24" s="24" t="n">
        <v>10</v>
      </c>
      <c r="F24" s="23" t="n">
        <v>46324</v>
      </c>
      <c r="G24" s="33">
        <f>IF(B24="","",IF(F24&lt;&gt;"",F24,IFERROR(INDEX(Pacing!$F$6:$F$25,MATCH(C24,Pacing!$B$6:$B$25,0)),"")))</f>
        <v/>
      </c>
      <c r="H24" s="34">
        <f>IF(G24="","",INT((G24-Setup!$B$6)/7)+1)</f>
        <v/>
      </c>
      <c r="I24" s="39">
        <f>IF(AND(B24&lt;&gt;"",G24&lt;&gt;""),IF(G24&lt;=Setup!$B$8,1,0),0)</f>
        <v/>
      </c>
      <c r="J24" s="40">
        <f>IF(OR(B24="",N(E24)=0),"",IFERROR(AVERAGE(Gradebook!AE$10:AE$49)/E24,""))</f>
        <v/>
      </c>
      <c r="K24" s="40">
        <f>IF(I24&lt;&gt;1,"",IFERROR(COUNT(Gradebook!AE$10:AE$49)/(SUMPRODUCT(--(Gradebook!$B$10:$B$49&lt;&gt;""))-COUNTIF(Gradebook!AE$10:AE$49,"EX")),""))</f>
        <v/>
      </c>
      <c r="L24" s="41">
        <f>IF(B24="","",IF(I24=1,SUMPRODUCT((Gradebook!$B$10:$B$49&lt;&gt;"")*(Gradebook!AE$10:AE$49="")),0)+COUNTIF(Gradebook!AE$10:AE$49,"M"))</f>
        <v/>
      </c>
    </row>
    <row r="25">
      <c r="A25" s="6" t="n">
        <v>20</v>
      </c>
      <c r="B25" s="22" t="inlineStr">
        <is>
          <t>Systems of Equations: HW B</t>
        </is>
      </c>
      <c r="C25" s="22" t="inlineStr">
        <is>
          <t>Systems of Equations</t>
        </is>
      </c>
      <c r="D25" s="22" t="inlineStr">
        <is>
          <t>Homework</t>
        </is>
      </c>
      <c r="E25" s="24" t="n">
        <v>10</v>
      </c>
      <c r="F25" s="23" t="n">
        <v>46331</v>
      </c>
      <c r="G25" s="33">
        <f>IF(B25="","",IF(F25&lt;&gt;"",F25,IFERROR(INDEX(Pacing!$F$6:$F$25,MATCH(C25,Pacing!$B$6:$B$25,0)),"")))</f>
        <v/>
      </c>
      <c r="H25" s="34">
        <f>IF(G25="","",INT((G25-Setup!$B$6)/7)+1)</f>
        <v/>
      </c>
      <c r="I25" s="39">
        <f>IF(AND(B25&lt;&gt;"",G25&lt;&gt;""),IF(G25&lt;=Setup!$B$8,1,0),0)</f>
        <v/>
      </c>
      <c r="J25" s="40">
        <f>IF(OR(B25="",N(E25)=0),"",IFERROR(AVERAGE(Gradebook!AF$10:AF$49)/E25,""))</f>
        <v/>
      </c>
      <c r="K25" s="40">
        <f>IF(I25&lt;&gt;1,"",IFERROR(COUNT(Gradebook!AF$10:AF$49)/(SUMPRODUCT(--(Gradebook!$B$10:$B$49&lt;&gt;""))-COUNTIF(Gradebook!AF$10:AF$49,"EX")),""))</f>
        <v/>
      </c>
      <c r="L25" s="41">
        <f>IF(B25="","",IF(I25=1,SUMPRODUCT((Gradebook!$B$10:$B$49&lt;&gt;"")*(Gradebook!AF$10:AF$49="")),0)+COUNTIF(Gradebook!AF$10:AF$49,"M"))</f>
        <v/>
      </c>
    </row>
    <row r="26">
      <c r="A26" s="6" t="n">
        <v>21</v>
      </c>
      <c r="B26" s="22" t="inlineStr">
        <is>
          <t>Systems of Equations: Quiz</t>
        </is>
      </c>
      <c r="C26" s="22" t="inlineStr">
        <is>
          <t>Systems of Equations</t>
        </is>
      </c>
      <c r="D26" s="22" t="inlineStr">
        <is>
          <t>Quizzes</t>
        </is>
      </c>
      <c r="E26" s="24" t="n">
        <v>25</v>
      </c>
      <c r="F26" s="23" t="n">
        <v>46332</v>
      </c>
      <c r="G26" s="33">
        <f>IF(B26="","",IF(F26&lt;&gt;"",F26,IFERROR(INDEX(Pacing!$F$6:$F$25,MATCH(C26,Pacing!$B$6:$B$25,0)),"")))</f>
        <v/>
      </c>
      <c r="H26" s="34">
        <f>IF(G26="","",INT((G26-Setup!$B$6)/7)+1)</f>
        <v/>
      </c>
      <c r="I26" s="39">
        <f>IF(AND(B26&lt;&gt;"",G26&lt;&gt;""),IF(G26&lt;=Setup!$B$8,1,0),0)</f>
        <v/>
      </c>
      <c r="J26" s="40">
        <f>IF(OR(B26="",N(E26)=0),"",IFERROR(AVERAGE(Gradebook!AG$10:AG$49)/E26,""))</f>
        <v/>
      </c>
      <c r="K26" s="40">
        <f>IF(I26&lt;&gt;1,"",IFERROR(COUNT(Gradebook!AG$10:AG$49)/(SUMPRODUCT(--(Gradebook!$B$10:$B$49&lt;&gt;""))-COUNTIF(Gradebook!AG$10:AG$49,"EX")),""))</f>
        <v/>
      </c>
      <c r="L26" s="41">
        <f>IF(B26="","",IF(I26=1,SUMPRODUCT((Gradebook!$B$10:$B$49&lt;&gt;"")*(Gradebook!AG$10:AG$49="")),0)+COUNTIF(Gradebook!AG$10:AG$49,"M"))</f>
        <v/>
      </c>
    </row>
    <row r="27">
      <c r="A27" s="6" t="n">
        <v>22</v>
      </c>
      <c r="B27" s="22" t="inlineStr">
        <is>
          <t>Systems of Equations: Participation</t>
        </is>
      </c>
      <c r="C27" s="22" t="inlineStr">
        <is>
          <t>Systems of Equations</t>
        </is>
      </c>
      <c r="D27" s="22" t="inlineStr">
        <is>
          <t>Participation</t>
        </is>
      </c>
      <c r="E27" s="24" t="n">
        <v>10</v>
      </c>
      <c r="F27" s="23" t="n"/>
      <c r="G27" s="33">
        <f>IF(B27="","",IF(F27&lt;&gt;"",F27,IFERROR(INDEX(Pacing!$F$6:$F$25,MATCH(C27,Pacing!$B$6:$B$25,0)),"")))</f>
        <v/>
      </c>
      <c r="H27" s="34">
        <f>IF(G27="","",INT((G27-Setup!$B$6)/7)+1)</f>
        <v/>
      </c>
      <c r="I27" s="39">
        <f>IF(AND(B27&lt;&gt;"",G27&lt;&gt;""),IF(G27&lt;=Setup!$B$8,1,0),0)</f>
        <v/>
      </c>
      <c r="J27" s="40">
        <f>IF(OR(B27="",N(E27)=0),"",IFERROR(AVERAGE(Gradebook!AH$10:AH$49)/E27,""))</f>
        <v/>
      </c>
      <c r="K27" s="40">
        <f>IF(I27&lt;&gt;1,"",IFERROR(COUNT(Gradebook!AH$10:AH$49)/(SUMPRODUCT(--(Gradebook!$B$10:$B$49&lt;&gt;""))-COUNTIF(Gradebook!AH$10:AH$49,"EX")),""))</f>
        <v/>
      </c>
      <c r="L27" s="41">
        <f>IF(B27="","",IF(I27=1,SUMPRODUCT((Gradebook!$B$10:$B$49&lt;&gt;"")*(Gradebook!AH$10:AH$49="")),0)+COUNTIF(Gradebook!AH$10:AH$49,"M"))</f>
        <v/>
      </c>
    </row>
    <row r="28">
      <c r="A28" s="6" t="n">
        <v>23</v>
      </c>
      <c r="B28" s="22" t="inlineStr">
        <is>
          <t>Systems of Equations: Test</t>
        </is>
      </c>
      <c r="C28" s="22" t="inlineStr">
        <is>
          <t>Systems of Equations</t>
        </is>
      </c>
      <c r="D28" s="22" t="inlineStr">
        <is>
          <t>Tests</t>
        </is>
      </c>
      <c r="E28" s="24" t="n">
        <v>100</v>
      </c>
      <c r="F28" s="23" t="n"/>
      <c r="G28" s="33">
        <f>IF(B28="","",IF(F28&lt;&gt;"",F28,IFERROR(INDEX(Pacing!$F$6:$F$25,MATCH(C28,Pacing!$B$6:$B$25,0)),"")))</f>
        <v/>
      </c>
      <c r="H28" s="34">
        <f>IF(G28="","",INT((G28-Setup!$B$6)/7)+1)</f>
        <v/>
      </c>
      <c r="I28" s="39">
        <f>IF(AND(B28&lt;&gt;"",G28&lt;&gt;""),IF(G28&lt;=Setup!$B$8,1,0),0)</f>
        <v/>
      </c>
      <c r="J28" s="40">
        <f>IF(OR(B28="",N(E28)=0),"",IFERROR(AVERAGE(Gradebook!AI$10:AI$49)/E28,""))</f>
        <v/>
      </c>
      <c r="K28" s="40">
        <f>IF(I28&lt;&gt;1,"",IFERROR(COUNT(Gradebook!AI$10:AI$49)/(SUMPRODUCT(--(Gradebook!$B$10:$B$49&lt;&gt;""))-COUNTIF(Gradebook!AI$10:AI$49,"EX")),""))</f>
        <v/>
      </c>
      <c r="L28" s="41">
        <f>IF(B28="","",IF(I28=1,SUMPRODUCT((Gradebook!$B$10:$B$49&lt;&gt;"")*(Gradebook!AI$10:AI$49="")),0)+COUNTIF(Gradebook!AI$10:AI$49,"M"))</f>
        <v/>
      </c>
    </row>
    <row r="29">
      <c r="A29" s="6" t="n">
        <v>24</v>
      </c>
      <c r="B29" s="22" t="inlineStr">
        <is>
          <t>Quadratics: HW A</t>
        </is>
      </c>
      <c r="C29" s="22" t="inlineStr">
        <is>
          <t>Quadratics</t>
        </is>
      </c>
      <c r="D29" s="22" t="inlineStr">
        <is>
          <t>Homework</t>
        </is>
      </c>
      <c r="E29" s="24" t="n">
        <v>10</v>
      </c>
      <c r="F29" s="23" t="n">
        <v>46345</v>
      </c>
      <c r="G29" s="33">
        <f>IF(B29="","",IF(F29&lt;&gt;"",F29,IFERROR(INDEX(Pacing!$F$6:$F$25,MATCH(C29,Pacing!$B$6:$B$25,0)),"")))</f>
        <v/>
      </c>
      <c r="H29" s="34">
        <f>IF(G29="","",INT((G29-Setup!$B$6)/7)+1)</f>
        <v/>
      </c>
      <c r="I29" s="39">
        <f>IF(AND(B29&lt;&gt;"",G29&lt;&gt;""),IF(G29&lt;=Setup!$B$8,1,0),0)</f>
        <v/>
      </c>
      <c r="J29" s="40">
        <f>IF(OR(B29="",N(E29)=0),"",IFERROR(AVERAGE(Gradebook!AJ$10:AJ$49)/E29,""))</f>
        <v/>
      </c>
      <c r="K29" s="40">
        <f>IF(I29&lt;&gt;1,"",IFERROR(COUNT(Gradebook!AJ$10:AJ$49)/(SUMPRODUCT(--(Gradebook!$B$10:$B$49&lt;&gt;""))-COUNTIF(Gradebook!AJ$10:AJ$49,"EX")),""))</f>
        <v/>
      </c>
      <c r="L29" s="41">
        <f>IF(B29="","",IF(I29=1,SUMPRODUCT((Gradebook!$B$10:$B$49&lt;&gt;"")*(Gradebook!AJ$10:AJ$49="")),0)+COUNTIF(Gradebook!AJ$10:AJ$49,"M"))</f>
        <v/>
      </c>
    </row>
    <row r="30">
      <c r="A30" s="6" t="n">
        <v>25</v>
      </c>
      <c r="B30" s="22" t="inlineStr">
        <is>
          <t>Quadratics: HW B</t>
        </is>
      </c>
      <c r="C30" s="22" t="inlineStr">
        <is>
          <t>Quadratics</t>
        </is>
      </c>
      <c r="D30" s="22" t="inlineStr">
        <is>
          <t>Homework</t>
        </is>
      </c>
      <c r="E30" s="24" t="n">
        <v>10</v>
      </c>
      <c r="F30" s="23" t="n">
        <v>46352</v>
      </c>
      <c r="G30" s="33">
        <f>IF(B30="","",IF(F30&lt;&gt;"",F30,IFERROR(INDEX(Pacing!$F$6:$F$25,MATCH(C30,Pacing!$B$6:$B$25,0)),"")))</f>
        <v/>
      </c>
      <c r="H30" s="34">
        <f>IF(G30="","",INT((G30-Setup!$B$6)/7)+1)</f>
        <v/>
      </c>
      <c r="I30" s="39">
        <f>IF(AND(B30&lt;&gt;"",G30&lt;&gt;""),IF(G30&lt;=Setup!$B$8,1,0),0)</f>
        <v/>
      </c>
      <c r="J30" s="40">
        <f>IF(OR(B30="",N(E30)=0),"",IFERROR(AVERAGE(Gradebook!AK$10:AK$49)/E30,""))</f>
        <v/>
      </c>
      <c r="K30" s="40">
        <f>IF(I30&lt;&gt;1,"",IFERROR(COUNT(Gradebook!AK$10:AK$49)/(SUMPRODUCT(--(Gradebook!$B$10:$B$49&lt;&gt;""))-COUNTIF(Gradebook!AK$10:AK$49,"EX")),""))</f>
        <v/>
      </c>
      <c r="L30" s="41">
        <f>IF(B30="","",IF(I30=1,SUMPRODUCT((Gradebook!$B$10:$B$49&lt;&gt;"")*(Gradebook!AK$10:AK$49="")),0)+COUNTIF(Gradebook!AK$10:AK$49,"M"))</f>
        <v/>
      </c>
    </row>
    <row r="31">
      <c r="A31" s="6" t="n">
        <v>26</v>
      </c>
      <c r="B31" s="22" t="inlineStr">
        <is>
          <t>Quadratics: Quiz</t>
        </is>
      </c>
      <c r="C31" s="22" t="inlineStr">
        <is>
          <t>Quadratics</t>
        </is>
      </c>
      <c r="D31" s="22" t="inlineStr">
        <is>
          <t>Quizzes</t>
        </is>
      </c>
      <c r="E31" s="24" t="n">
        <v>25</v>
      </c>
      <c r="F31" s="23" t="n">
        <v>46353</v>
      </c>
      <c r="G31" s="33">
        <f>IF(B31="","",IF(F31&lt;&gt;"",F31,IFERROR(INDEX(Pacing!$F$6:$F$25,MATCH(C31,Pacing!$B$6:$B$25,0)),"")))</f>
        <v/>
      </c>
      <c r="H31" s="34">
        <f>IF(G31="","",INT((G31-Setup!$B$6)/7)+1)</f>
        <v/>
      </c>
      <c r="I31" s="39">
        <f>IF(AND(B31&lt;&gt;"",G31&lt;&gt;""),IF(G31&lt;=Setup!$B$8,1,0),0)</f>
        <v/>
      </c>
      <c r="J31" s="40">
        <f>IF(OR(B31="",N(E31)=0),"",IFERROR(AVERAGE(Gradebook!AL$10:AL$49)/E31,""))</f>
        <v/>
      </c>
      <c r="K31" s="40">
        <f>IF(I31&lt;&gt;1,"",IFERROR(COUNT(Gradebook!AL$10:AL$49)/(SUMPRODUCT(--(Gradebook!$B$10:$B$49&lt;&gt;""))-COUNTIF(Gradebook!AL$10:AL$49,"EX")),""))</f>
        <v/>
      </c>
      <c r="L31" s="41">
        <f>IF(B31="","",IF(I31=1,SUMPRODUCT((Gradebook!$B$10:$B$49&lt;&gt;"")*(Gradebook!AL$10:AL$49="")),0)+COUNTIF(Gradebook!AL$10:AL$49,"M"))</f>
        <v/>
      </c>
    </row>
    <row r="32">
      <c r="A32" s="6" t="n">
        <v>27</v>
      </c>
      <c r="B32" s="22" t="inlineStr">
        <is>
          <t>Quadratics: Participation</t>
        </is>
      </c>
      <c r="C32" s="22" t="inlineStr">
        <is>
          <t>Quadratics</t>
        </is>
      </c>
      <c r="D32" s="22" t="inlineStr">
        <is>
          <t>Participation</t>
        </is>
      </c>
      <c r="E32" s="24" t="n">
        <v>10</v>
      </c>
      <c r="F32" s="23" t="n"/>
      <c r="G32" s="33">
        <f>IF(B32="","",IF(F32&lt;&gt;"",F32,IFERROR(INDEX(Pacing!$F$6:$F$25,MATCH(C32,Pacing!$B$6:$B$25,0)),"")))</f>
        <v/>
      </c>
      <c r="H32" s="34">
        <f>IF(G32="","",INT((G32-Setup!$B$6)/7)+1)</f>
        <v/>
      </c>
      <c r="I32" s="39">
        <f>IF(AND(B32&lt;&gt;"",G32&lt;&gt;""),IF(G32&lt;=Setup!$B$8,1,0),0)</f>
        <v/>
      </c>
      <c r="J32" s="40">
        <f>IF(OR(B32="",N(E32)=0),"",IFERROR(AVERAGE(Gradebook!AM$10:AM$49)/E32,""))</f>
        <v/>
      </c>
      <c r="K32" s="40">
        <f>IF(I32&lt;&gt;1,"",IFERROR(COUNT(Gradebook!AM$10:AM$49)/(SUMPRODUCT(--(Gradebook!$B$10:$B$49&lt;&gt;""))-COUNTIF(Gradebook!AM$10:AM$49,"EX")),""))</f>
        <v/>
      </c>
      <c r="L32" s="41">
        <f>IF(B32="","",IF(I32=1,SUMPRODUCT((Gradebook!$B$10:$B$49&lt;&gt;"")*(Gradebook!AM$10:AM$49="")),0)+COUNTIF(Gradebook!AM$10:AM$49,"M"))</f>
        <v/>
      </c>
    </row>
    <row r="33">
      <c r="A33" s="6" t="n">
        <v>28</v>
      </c>
      <c r="B33" s="22" t="inlineStr">
        <is>
          <t>Quadratics: Test</t>
        </is>
      </c>
      <c r="C33" s="22" t="inlineStr">
        <is>
          <t>Quadratics</t>
        </is>
      </c>
      <c r="D33" s="22" t="inlineStr">
        <is>
          <t>Tests</t>
        </is>
      </c>
      <c r="E33" s="24" t="n">
        <v>100</v>
      </c>
      <c r="F33" s="23" t="n"/>
      <c r="G33" s="33">
        <f>IF(B33="","",IF(F33&lt;&gt;"",F33,IFERROR(INDEX(Pacing!$F$6:$F$25,MATCH(C33,Pacing!$B$6:$B$25,0)),"")))</f>
        <v/>
      </c>
      <c r="H33" s="34">
        <f>IF(G33="","",INT((G33-Setup!$B$6)/7)+1)</f>
        <v/>
      </c>
      <c r="I33" s="39">
        <f>IF(AND(B33&lt;&gt;"",G33&lt;&gt;""),IF(G33&lt;=Setup!$B$8,1,0),0)</f>
        <v/>
      </c>
      <c r="J33" s="40">
        <f>IF(OR(B33="",N(E33)=0),"",IFERROR(AVERAGE(Gradebook!AN$10:AN$49)/E33,""))</f>
        <v/>
      </c>
      <c r="K33" s="40">
        <f>IF(I33&lt;&gt;1,"",IFERROR(COUNT(Gradebook!AN$10:AN$49)/(SUMPRODUCT(--(Gradebook!$B$10:$B$49&lt;&gt;""))-COUNTIF(Gradebook!AN$10:AN$49,"EX")),""))</f>
        <v/>
      </c>
      <c r="L33" s="41">
        <f>IF(B33="","",IF(I33=1,SUMPRODUCT((Gradebook!$B$10:$B$49&lt;&gt;"")*(Gradebook!AN$10:AN$49="")),0)+COUNTIF(Gradebook!AN$10:AN$49,"M"))</f>
        <v/>
      </c>
    </row>
    <row r="34">
      <c r="A34" s="6" t="n">
        <v>29</v>
      </c>
      <c r="B34" s="22" t="inlineStr">
        <is>
          <t>Final Review Packet</t>
        </is>
      </c>
      <c r="C34" s="22" t="inlineStr">
        <is>
          <t>Final Review</t>
        </is>
      </c>
      <c r="D34" s="22" t="inlineStr">
        <is>
          <t>Homework</t>
        </is>
      </c>
      <c r="E34" s="24" t="n">
        <v>20</v>
      </c>
      <c r="F34" s="23" t="n"/>
      <c r="G34" s="33">
        <f>IF(B34="","",IF(F34&lt;&gt;"",F34,IFERROR(INDEX(Pacing!$F$6:$F$25,MATCH(C34,Pacing!$B$6:$B$25,0)),"")))</f>
        <v/>
      </c>
      <c r="H34" s="34">
        <f>IF(G34="","",INT((G34-Setup!$B$6)/7)+1)</f>
        <v/>
      </c>
      <c r="I34" s="39">
        <f>IF(AND(B34&lt;&gt;"",G34&lt;&gt;""),IF(G34&lt;=Setup!$B$8,1,0),0)</f>
        <v/>
      </c>
      <c r="J34" s="40">
        <f>IF(OR(B34="",N(E34)=0),"",IFERROR(AVERAGE(Gradebook!AO$10:AO$49)/E34,""))</f>
        <v/>
      </c>
      <c r="K34" s="40">
        <f>IF(I34&lt;&gt;1,"",IFERROR(COUNT(Gradebook!AO$10:AO$49)/(SUMPRODUCT(--(Gradebook!$B$10:$B$49&lt;&gt;""))-COUNTIF(Gradebook!AO$10:AO$49,"EX")),""))</f>
        <v/>
      </c>
      <c r="L34" s="41">
        <f>IF(B34="","",IF(I34=1,SUMPRODUCT((Gradebook!$B$10:$B$49&lt;&gt;"")*(Gradebook!AO$10:AO$49="")),0)+COUNTIF(Gradebook!AO$10:AO$49,"M"))</f>
        <v/>
      </c>
    </row>
    <row r="35">
      <c r="A35" s="6" t="n">
        <v>30</v>
      </c>
      <c r="B35" s="22" t="inlineStr">
        <is>
          <t>Final Exam</t>
        </is>
      </c>
      <c r="C35" s="22" t="inlineStr">
        <is>
          <t>Final Review</t>
        </is>
      </c>
      <c r="D35" s="22" t="inlineStr">
        <is>
          <t>Tests</t>
        </is>
      </c>
      <c r="E35" s="24" t="n">
        <v>100</v>
      </c>
      <c r="F35" s="23" t="n"/>
      <c r="G35" s="33">
        <f>IF(B35="","",IF(F35&lt;&gt;"",F35,IFERROR(INDEX(Pacing!$F$6:$F$25,MATCH(C35,Pacing!$B$6:$B$25,0)),"")))</f>
        <v/>
      </c>
      <c r="H35" s="34">
        <f>IF(G35="","",INT((G35-Setup!$B$6)/7)+1)</f>
        <v/>
      </c>
      <c r="I35" s="39">
        <f>IF(AND(B35&lt;&gt;"",G35&lt;&gt;""),IF(G35&lt;=Setup!$B$8,1,0),0)</f>
        <v/>
      </c>
      <c r="J35" s="40">
        <f>IF(OR(B35="",N(E35)=0),"",IFERROR(AVERAGE(Gradebook!AP$10:AP$49)/E35,""))</f>
        <v/>
      </c>
      <c r="K35" s="40">
        <f>IF(I35&lt;&gt;1,"",IFERROR(COUNT(Gradebook!AP$10:AP$49)/(SUMPRODUCT(--(Gradebook!$B$10:$B$49&lt;&gt;""))-COUNTIF(Gradebook!AP$10:AP$49,"EX")),""))</f>
        <v/>
      </c>
      <c r="L35" s="41">
        <f>IF(B35="","",IF(I35=1,SUMPRODUCT((Gradebook!$B$10:$B$49&lt;&gt;"")*(Gradebook!AP$10:AP$49="")),0)+COUNTIF(Gradebook!AP$10:AP$49,"M"))</f>
        <v/>
      </c>
    </row>
    <row r="36">
      <c r="A36" s="6" t="n">
        <v>31</v>
      </c>
      <c r="B36" s="22" t="n"/>
      <c r="C36" s="22" t="n"/>
      <c r="D36" s="22" t="n"/>
      <c r="E36" s="24" t="n"/>
      <c r="F36" s="23" t="n"/>
      <c r="G36" s="33">
        <f>IF(B36="","",IF(F36&lt;&gt;"",F36,IFERROR(INDEX(Pacing!$F$6:$F$25,MATCH(C36,Pacing!$B$6:$B$25,0)),"")))</f>
        <v/>
      </c>
      <c r="H36" s="34">
        <f>IF(G36="","",INT((G36-Setup!$B$6)/7)+1)</f>
        <v/>
      </c>
      <c r="I36" s="39">
        <f>IF(AND(B36&lt;&gt;"",G36&lt;&gt;""),IF(G36&lt;=Setup!$B$8,1,0),0)</f>
        <v/>
      </c>
      <c r="J36" s="40">
        <f>IF(OR(B36="",N(E36)=0),"",IFERROR(AVERAGE(Gradebook!AQ$10:AQ$49)/E36,""))</f>
        <v/>
      </c>
      <c r="K36" s="40">
        <f>IF(I36&lt;&gt;1,"",IFERROR(COUNT(Gradebook!AQ$10:AQ$49)/(SUMPRODUCT(--(Gradebook!$B$10:$B$49&lt;&gt;""))-COUNTIF(Gradebook!AQ$10:AQ$49,"EX")),""))</f>
        <v/>
      </c>
      <c r="L36" s="41">
        <f>IF(B36="","",IF(I36=1,SUMPRODUCT((Gradebook!$B$10:$B$49&lt;&gt;"")*(Gradebook!AQ$10:AQ$49="")),0)+COUNTIF(Gradebook!AQ$10:AQ$49,"M"))</f>
        <v/>
      </c>
    </row>
    <row r="37">
      <c r="A37" s="6" t="n">
        <v>32</v>
      </c>
      <c r="B37" s="22" t="n"/>
      <c r="C37" s="22" t="n"/>
      <c r="D37" s="22" t="n"/>
      <c r="E37" s="24" t="n"/>
      <c r="F37" s="23" t="n"/>
      <c r="G37" s="33">
        <f>IF(B37="","",IF(F37&lt;&gt;"",F37,IFERROR(INDEX(Pacing!$F$6:$F$25,MATCH(C37,Pacing!$B$6:$B$25,0)),"")))</f>
        <v/>
      </c>
      <c r="H37" s="34">
        <f>IF(G37="","",INT((G37-Setup!$B$6)/7)+1)</f>
        <v/>
      </c>
      <c r="I37" s="39">
        <f>IF(AND(B37&lt;&gt;"",G37&lt;&gt;""),IF(G37&lt;=Setup!$B$8,1,0),0)</f>
        <v/>
      </c>
      <c r="J37" s="40">
        <f>IF(OR(B37="",N(E37)=0),"",IFERROR(AVERAGE(Gradebook!AR$10:AR$49)/E37,""))</f>
        <v/>
      </c>
      <c r="K37" s="40">
        <f>IF(I37&lt;&gt;1,"",IFERROR(COUNT(Gradebook!AR$10:AR$49)/(SUMPRODUCT(--(Gradebook!$B$10:$B$49&lt;&gt;""))-COUNTIF(Gradebook!AR$10:AR$49,"EX")),""))</f>
        <v/>
      </c>
      <c r="L37" s="41">
        <f>IF(B37="","",IF(I37=1,SUMPRODUCT((Gradebook!$B$10:$B$49&lt;&gt;"")*(Gradebook!AR$10:AR$49="")),0)+COUNTIF(Gradebook!AR$10:AR$49,"M"))</f>
        <v/>
      </c>
    </row>
    <row r="38">
      <c r="A38" s="6" t="n">
        <v>33</v>
      </c>
      <c r="B38" s="22" t="n"/>
      <c r="C38" s="22" t="n"/>
      <c r="D38" s="22" t="n"/>
      <c r="E38" s="24" t="n"/>
      <c r="F38" s="23" t="n"/>
      <c r="G38" s="33">
        <f>IF(B38="","",IF(F38&lt;&gt;"",F38,IFERROR(INDEX(Pacing!$F$6:$F$25,MATCH(C38,Pacing!$B$6:$B$25,0)),"")))</f>
        <v/>
      </c>
      <c r="H38" s="34">
        <f>IF(G38="","",INT((G38-Setup!$B$6)/7)+1)</f>
        <v/>
      </c>
      <c r="I38" s="39">
        <f>IF(AND(B38&lt;&gt;"",G38&lt;&gt;""),IF(G38&lt;=Setup!$B$8,1,0),0)</f>
        <v/>
      </c>
      <c r="J38" s="40">
        <f>IF(OR(B38="",N(E38)=0),"",IFERROR(AVERAGE(Gradebook!AS$10:AS$49)/E38,""))</f>
        <v/>
      </c>
      <c r="K38" s="40">
        <f>IF(I38&lt;&gt;1,"",IFERROR(COUNT(Gradebook!AS$10:AS$49)/(SUMPRODUCT(--(Gradebook!$B$10:$B$49&lt;&gt;""))-COUNTIF(Gradebook!AS$10:AS$49,"EX")),""))</f>
        <v/>
      </c>
      <c r="L38" s="41">
        <f>IF(B38="","",IF(I38=1,SUMPRODUCT((Gradebook!$B$10:$B$49&lt;&gt;"")*(Gradebook!AS$10:AS$49="")),0)+COUNTIF(Gradebook!AS$10:AS$49,"M"))</f>
        <v/>
      </c>
    </row>
    <row r="39">
      <c r="A39" s="6" t="n">
        <v>34</v>
      </c>
      <c r="B39" s="22" t="n"/>
      <c r="C39" s="22" t="n"/>
      <c r="D39" s="22" t="n"/>
      <c r="E39" s="24" t="n"/>
      <c r="F39" s="23" t="n"/>
      <c r="G39" s="33">
        <f>IF(B39="","",IF(F39&lt;&gt;"",F39,IFERROR(INDEX(Pacing!$F$6:$F$25,MATCH(C39,Pacing!$B$6:$B$25,0)),"")))</f>
        <v/>
      </c>
      <c r="H39" s="34">
        <f>IF(G39="","",INT((G39-Setup!$B$6)/7)+1)</f>
        <v/>
      </c>
      <c r="I39" s="39">
        <f>IF(AND(B39&lt;&gt;"",G39&lt;&gt;""),IF(G39&lt;=Setup!$B$8,1,0),0)</f>
        <v/>
      </c>
      <c r="J39" s="40">
        <f>IF(OR(B39="",N(E39)=0),"",IFERROR(AVERAGE(Gradebook!AT$10:AT$49)/E39,""))</f>
        <v/>
      </c>
      <c r="K39" s="40">
        <f>IF(I39&lt;&gt;1,"",IFERROR(COUNT(Gradebook!AT$10:AT$49)/(SUMPRODUCT(--(Gradebook!$B$10:$B$49&lt;&gt;""))-COUNTIF(Gradebook!AT$10:AT$49,"EX")),""))</f>
        <v/>
      </c>
      <c r="L39" s="41">
        <f>IF(B39="","",IF(I39=1,SUMPRODUCT((Gradebook!$B$10:$B$49&lt;&gt;"")*(Gradebook!AT$10:AT$49="")),0)+COUNTIF(Gradebook!AT$10:AT$49,"M"))</f>
        <v/>
      </c>
    </row>
    <row r="40">
      <c r="A40" s="6" t="n">
        <v>35</v>
      </c>
      <c r="B40" s="22" t="n"/>
      <c r="C40" s="22" t="n"/>
      <c r="D40" s="22" t="n"/>
      <c r="E40" s="24" t="n"/>
      <c r="F40" s="23" t="n"/>
      <c r="G40" s="33">
        <f>IF(B40="","",IF(F40&lt;&gt;"",F40,IFERROR(INDEX(Pacing!$F$6:$F$25,MATCH(C40,Pacing!$B$6:$B$25,0)),"")))</f>
        <v/>
      </c>
      <c r="H40" s="34">
        <f>IF(G40="","",INT((G40-Setup!$B$6)/7)+1)</f>
        <v/>
      </c>
      <c r="I40" s="39">
        <f>IF(AND(B40&lt;&gt;"",G40&lt;&gt;""),IF(G40&lt;=Setup!$B$8,1,0),0)</f>
        <v/>
      </c>
      <c r="J40" s="40">
        <f>IF(OR(B40="",N(E40)=0),"",IFERROR(AVERAGE(Gradebook!AU$10:AU$49)/E40,""))</f>
        <v/>
      </c>
      <c r="K40" s="40">
        <f>IF(I40&lt;&gt;1,"",IFERROR(COUNT(Gradebook!AU$10:AU$49)/(SUMPRODUCT(--(Gradebook!$B$10:$B$49&lt;&gt;""))-COUNTIF(Gradebook!AU$10:AU$49,"EX")),""))</f>
        <v/>
      </c>
      <c r="L40" s="41">
        <f>IF(B40="","",IF(I40=1,SUMPRODUCT((Gradebook!$B$10:$B$49&lt;&gt;"")*(Gradebook!AU$10:AU$49="")),0)+COUNTIF(Gradebook!AU$10:AU$49,"M"))</f>
        <v/>
      </c>
    </row>
    <row r="41">
      <c r="A41" s="6" t="n">
        <v>36</v>
      </c>
      <c r="B41" s="22" t="n"/>
      <c r="C41" s="22" t="n"/>
      <c r="D41" s="22" t="n"/>
      <c r="E41" s="24" t="n"/>
      <c r="F41" s="23" t="n"/>
      <c r="G41" s="33">
        <f>IF(B41="","",IF(F41&lt;&gt;"",F41,IFERROR(INDEX(Pacing!$F$6:$F$25,MATCH(C41,Pacing!$B$6:$B$25,0)),"")))</f>
        <v/>
      </c>
      <c r="H41" s="34">
        <f>IF(G41="","",INT((G41-Setup!$B$6)/7)+1)</f>
        <v/>
      </c>
      <c r="I41" s="39">
        <f>IF(AND(B41&lt;&gt;"",G41&lt;&gt;""),IF(G41&lt;=Setup!$B$8,1,0),0)</f>
        <v/>
      </c>
      <c r="J41" s="40">
        <f>IF(OR(B41="",N(E41)=0),"",IFERROR(AVERAGE(Gradebook!AV$10:AV$49)/E41,""))</f>
        <v/>
      </c>
      <c r="K41" s="40">
        <f>IF(I41&lt;&gt;1,"",IFERROR(COUNT(Gradebook!AV$10:AV$49)/(SUMPRODUCT(--(Gradebook!$B$10:$B$49&lt;&gt;""))-COUNTIF(Gradebook!AV$10:AV$49,"EX")),""))</f>
        <v/>
      </c>
      <c r="L41" s="41">
        <f>IF(B41="","",IF(I41=1,SUMPRODUCT((Gradebook!$B$10:$B$49&lt;&gt;"")*(Gradebook!AV$10:AV$49="")),0)+COUNTIF(Gradebook!AV$10:AV$49,"M"))</f>
        <v/>
      </c>
    </row>
    <row r="42">
      <c r="A42" s="6" t="n">
        <v>37</v>
      </c>
      <c r="B42" s="22" t="n"/>
      <c r="C42" s="22" t="n"/>
      <c r="D42" s="22" t="n"/>
      <c r="E42" s="24" t="n"/>
      <c r="F42" s="23" t="n"/>
      <c r="G42" s="33">
        <f>IF(B42="","",IF(F42&lt;&gt;"",F42,IFERROR(INDEX(Pacing!$F$6:$F$25,MATCH(C42,Pacing!$B$6:$B$25,0)),"")))</f>
        <v/>
      </c>
      <c r="H42" s="34">
        <f>IF(G42="","",INT((G42-Setup!$B$6)/7)+1)</f>
        <v/>
      </c>
      <c r="I42" s="39">
        <f>IF(AND(B42&lt;&gt;"",G42&lt;&gt;""),IF(G42&lt;=Setup!$B$8,1,0),0)</f>
        <v/>
      </c>
      <c r="J42" s="40">
        <f>IF(OR(B42="",N(E42)=0),"",IFERROR(AVERAGE(Gradebook!AW$10:AW$49)/E42,""))</f>
        <v/>
      </c>
      <c r="K42" s="40">
        <f>IF(I42&lt;&gt;1,"",IFERROR(COUNT(Gradebook!AW$10:AW$49)/(SUMPRODUCT(--(Gradebook!$B$10:$B$49&lt;&gt;""))-COUNTIF(Gradebook!AW$10:AW$49,"EX")),""))</f>
        <v/>
      </c>
      <c r="L42" s="41">
        <f>IF(B42="","",IF(I42=1,SUMPRODUCT((Gradebook!$B$10:$B$49&lt;&gt;"")*(Gradebook!AW$10:AW$49="")),0)+COUNTIF(Gradebook!AW$10:AW$49,"M"))</f>
        <v/>
      </c>
    </row>
    <row r="43">
      <c r="A43" s="6" t="n">
        <v>38</v>
      </c>
      <c r="B43" s="22" t="n"/>
      <c r="C43" s="22" t="n"/>
      <c r="D43" s="22" t="n"/>
      <c r="E43" s="24" t="n"/>
      <c r="F43" s="23" t="n"/>
      <c r="G43" s="33">
        <f>IF(B43="","",IF(F43&lt;&gt;"",F43,IFERROR(INDEX(Pacing!$F$6:$F$25,MATCH(C43,Pacing!$B$6:$B$25,0)),"")))</f>
        <v/>
      </c>
      <c r="H43" s="34">
        <f>IF(G43="","",INT((G43-Setup!$B$6)/7)+1)</f>
        <v/>
      </c>
      <c r="I43" s="39">
        <f>IF(AND(B43&lt;&gt;"",G43&lt;&gt;""),IF(G43&lt;=Setup!$B$8,1,0),0)</f>
        <v/>
      </c>
      <c r="J43" s="40">
        <f>IF(OR(B43="",N(E43)=0),"",IFERROR(AVERAGE(Gradebook!AX$10:AX$49)/E43,""))</f>
        <v/>
      </c>
      <c r="K43" s="40">
        <f>IF(I43&lt;&gt;1,"",IFERROR(COUNT(Gradebook!AX$10:AX$49)/(SUMPRODUCT(--(Gradebook!$B$10:$B$49&lt;&gt;""))-COUNTIF(Gradebook!AX$10:AX$49,"EX")),""))</f>
        <v/>
      </c>
      <c r="L43" s="41">
        <f>IF(B43="","",IF(I43=1,SUMPRODUCT((Gradebook!$B$10:$B$49&lt;&gt;"")*(Gradebook!AX$10:AX$49="")),0)+COUNTIF(Gradebook!AX$10:AX$49,"M"))</f>
        <v/>
      </c>
    </row>
    <row r="44">
      <c r="A44" s="6" t="n">
        <v>39</v>
      </c>
      <c r="B44" s="22" t="n"/>
      <c r="C44" s="22" t="n"/>
      <c r="D44" s="22" t="n"/>
      <c r="E44" s="24" t="n"/>
      <c r="F44" s="23" t="n"/>
      <c r="G44" s="33">
        <f>IF(B44="","",IF(F44&lt;&gt;"",F44,IFERROR(INDEX(Pacing!$F$6:$F$25,MATCH(C44,Pacing!$B$6:$B$25,0)),"")))</f>
        <v/>
      </c>
      <c r="H44" s="34">
        <f>IF(G44="","",INT((G44-Setup!$B$6)/7)+1)</f>
        <v/>
      </c>
      <c r="I44" s="39">
        <f>IF(AND(B44&lt;&gt;"",G44&lt;&gt;""),IF(G44&lt;=Setup!$B$8,1,0),0)</f>
        <v/>
      </c>
      <c r="J44" s="40">
        <f>IF(OR(B44="",N(E44)=0),"",IFERROR(AVERAGE(Gradebook!AY$10:AY$49)/E44,""))</f>
        <v/>
      </c>
      <c r="K44" s="40">
        <f>IF(I44&lt;&gt;1,"",IFERROR(COUNT(Gradebook!AY$10:AY$49)/(SUMPRODUCT(--(Gradebook!$B$10:$B$49&lt;&gt;""))-COUNTIF(Gradebook!AY$10:AY$49,"EX")),""))</f>
        <v/>
      </c>
      <c r="L44" s="41">
        <f>IF(B44="","",IF(I44=1,SUMPRODUCT((Gradebook!$B$10:$B$49&lt;&gt;"")*(Gradebook!AY$10:AY$49="")),0)+COUNTIF(Gradebook!AY$10:AY$49,"M"))</f>
        <v/>
      </c>
    </row>
    <row r="45">
      <c r="A45" s="6" t="n">
        <v>40</v>
      </c>
      <c r="B45" s="22" t="n"/>
      <c r="C45" s="22" t="n"/>
      <c r="D45" s="22" t="n"/>
      <c r="E45" s="24" t="n"/>
      <c r="F45" s="23" t="n"/>
      <c r="G45" s="33">
        <f>IF(B45="","",IF(F45&lt;&gt;"",F45,IFERROR(INDEX(Pacing!$F$6:$F$25,MATCH(C45,Pacing!$B$6:$B$25,0)),"")))</f>
        <v/>
      </c>
      <c r="H45" s="34">
        <f>IF(G45="","",INT((G45-Setup!$B$6)/7)+1)</f>
        <v/>
      </c>
      <c r="I45" s="39">
        <f>IF(AND(B45&lt;&gt;"",G45&lt;&gt;""),IF(G45&lt;=Setup!$B$8,1,0),0)</f>
        <v/>
      </c>
      <c r="J45" s="40">
        <f>IF(OR(B45="",N(E45)=0),"",IFERROR(AVERAGE(Gradebook!AZ$10:AZ$49)/E45,""))</f>
        <v/>
      </c>
      <c r="K45" s="40">
        <f>IF(I45&lt;&gt;1,"",IFERROR(COUNT(Gradebook!AZ$10:AZ$49)/(SUMPRODUCT(--(Gradebook!$B$10:$B$49&lt;&gt;""))-COUNTIF(Gradebook!AZ$10:AZ$49,"EX")),""))</f>
        <v/>
      </c>
      <c r="L45" s="41">
        <f>IF(B45="","",IF(I45=1,SUMPRODUCT((Gradebook!$B$10:$B$49&lt;&gt;"")*(Gradebook!AZ$10:AZ$49="")),0)+COUNTIF(Gradebook!AZ$10:AZ$49,"M"))</f>
        <v/>
      </c>
    </row>
    <row r="46">
      <c r="A46" s="6" t="n">
        <v>41</v>
      </c>
      <c r="B46" s="22" t="n"/>
      <c r="C46" s="22" t="n"/>
      <c r="D46" s="22" t="n"/>
      <c r="E46" s="24" t="n"/>
      <c r="F46" s="23" t="n"/>
      <c r="G46" s="33">
        <f>IF(B46="","",IF(F46&lt;&gt;"",F46,IFERROR(INDEX(Pacing!$F$6:$F$25,MATCH(C46,Pacing!$B$6:$B$25,0)),"")))</f>
        <v/>
      </c>
      <c r="H46" s="34">
        <f>IF(G46="","",INT((G46-Setup!$B$6)/7)+1)</f>
        <v/>
      </c>
      <c r="I46" s="39">
        <f>IF(AND(B46&lt;&gt;"",G46&lt;&gt;""),IF(G46&lt;=Setup!$B$8,1,0),0)</f>
        <v/>
      </c>
      <c r="J46" s="40">
        <f>IF(OR(B46="",N(E46)=0),"",IFERROR(AVERAGE(Gradebook!BA$10:BA$49)/E46,""))</f>
        <v/>
      </c>
      <c r="K46" s="40">
        <f>IF(I46&lt;&gt;1,"",IFERROR(COUNT(Gradebook!BA$10:BA$49)/(SUMPRODUCT(--(Gradebook!$B$10:$B$49&lt;&gt;""))-COUNTIF(Gradebook!BA$10:BA$49,"EX")),""))</f>
        <v/>
      </c>
      <c r="L46" s="41">
        <f>IF(B46="","",IF(I46=1,SUMPRODUCT((Gradebook!$B$10:$B$49&lt;&gt;"")*(Gradebook!BA$10:BA$49="")),0)+COUNTIF(Gradebook!BA$10:BA$49,"M"))</f>
        <v/>
      </c>
    </row>
    <row r="47">
      <c r="A47" s="6" t="n">
        <v>42</v>
      </c>
      <c r="B47" s="22" t="n"/>
      <c r="C47" s="22" t="n"/>
      <c r="D47" s="22" t="n"/>
      <c r="E47" s="24" t="n"/>
      <c r="F47" s="23" t="n"/>
      <c r="G47" s="33">
        <f>IF(B47="","",IF(F47&lt;&gt;"",F47,IFERROR(INDEX(Pacing!$F$6:$F$25,MATCH(C47,Pacing!$B$6:$B$25,0)),"")))</f>
        <v/>
      </c>
      <c r="H47" s="34">
        <f>IF(G47="","",INT((G47-Setup!$B$6)/7)+1)</f>
        <v/>
      </c>
      <c r="I47" s="39">
        <f>IF(AND(B47&lt;&gt;"",G47&lt;&gt;""),IF(G47&lt;=Setup!$B$8,1,0),0)</f>
        <v/>
      </c>
      <c r="J47" s="40">
        <f>IF(OR(B47="",N(E47)=0),"",IFERROR(AVERAGE(Gradebook!BB$10:BB$49)/E47,""))</f>
        <v/>
      </c>
      <c r="K47" s="40">
        <f>IF(I47&lt;&gt;1,"",IFERROR(COUNT(Gradebook!BB$10:BB$49)/(SUMPRODUCT(--(Gradebook!$B$10:$B$49&lt;&gt;""))-COUNTIF(Gradebook!BB$10:BB$49,"EX")),""))</f>
        <v/>
      </c>
      <c r="L47" s="41">
        <f>IF(B47="","",IF(I47=1,SUMPRODUCT((Gradebook!$B$10:$B$49&lt;&gt;"")*(Gradebook!BB$10:BB$49="")),0)+COUNTIF(Gradebook!BB$10:BB$49,"M"))</f>
        <v/>
      </c>
    </row>
    <row r="48">
      <c r="A48" s="6" t="n">
        <v>43</v>
      </c>
      <c r="B48" s="22" t="n"/>
      <c r="C48" s="22" t="n"/>
      <c r="D48" s="22" t="n"/>
      <c r="E48" s="24" t="n"/>
      <c r="F48" s="23" t="n"/>
      <c r="G48" s="33">
        <f>IF(B48="","",IF(F48&lt;&gt;"",F48,IFERROR(INDEX(Pacing!$F$6:$F$25,MATCH(C48,Pacing!$B$6:$B$25,0)),"")))</f>
        <v/>
      </c>
      <c r="H48" s="34">
        <f>IF(G48="","",INT((G48-Setup!$B$6)/7)+1)</f>
        <v/>
      </c>
      <c r="I48" s="39">
        <f>IF(AND(B48&lt;&gt;"",G48&lt;&gt;""),IF(G48&lt;=Setup!$B$8,1,0),0)</f>
        <v/>
      </c>
      <c r="J48" s="40">
        <f>IF(OR(B48="",N(E48)=0),"",IFERROR(AVERAGE(Gradebook!BC$10:BC$49)/E48,""))</f>
        <v/>
      </c>
      <c r="K48" s="40">
        <f>IF(I48&lt;&gt;1,"",IFERROR(COUNT(Gradebook!BC$10:BC$49)/(SUMPRODUCT(--(Gradebook!$B$10:$B$49&lt;&gt;""))-COUNTIF(Gradebook!BC$10:BC$49,"EX")),""))</f>
        <v/>
      </c>
      <c r="L48" s="41">
        <f>IF(B48="","",IF(I48=1,SUMPRODUCT((Gradebook!$B$10:$B$49&lt;&gt;"")*(Gradebook!BC$10:BC$49="")),0)+COUNTIF(Gradebook!BC$10:BC$49,"M"))</f>
        <v/>
      </c>
    </row>
    <row r="49">
      <c r="A49" s="6" t="n">
        <v>44</v>
      </c>
      <c r="B49" s="22" t="n"/>
      <c r="C49" s="22" t="n"/>
      <c r="D49" s="22" t="n"/>
      <c r="E49" s="24" t="n"/>
      <c r="F49" s="23" t="n"/>
      <c r="G49" s="33">
        <f>IF(B49="","",IF(F49&lt;&gt;"",F49,IFERROR(INDEX(Pacing!$F$6:$F$25,MATCH(C49,Pacing!$B$6:$B$25,0)),"")))</f>
        <v/>
      </c>
      <c r="H49" s="34">
        <f>IF(G49="","",INT((G49-Setup!$B$6)/7)+1)</f>
        <v/>
      </c>
      <c r="I49" s="39">
        <f>IF(AND(B49&lt;&gt;"",G49&lt;&gt;""),IF(G49&lt;=Setup!$B$8,1,0),0)</f>
        <v/>
      </c>
      <c r="J49" s="40">
        <f>IF(OR(B49="",N(E49)=0),"",IFERROR(AVERAGE(Gradebook!BD$10:BD$49)/E49,""))</f>
        <v/>
      </c>
      <c r="K49" s="40">
        <f>IF(I49&lt;&gt;1,"",IFERROR(COUNT(Gradebook!BD$10:BD$49)/(SUMPRODUCT(--(Gradebook!$B$10:$B$49&lt;&gt;""))-COUNTIF(Gradebook!BD$10:BD$49,"EX")),""))</f>
        <v/>
      </c>
      <c r="L49" s="41">
        <f>IF(B49="","",IF(I49=1,SUMPRODUCT((Gradebook!$B$10:$B$49&lt;&gt;"")*(Gradebook!BD$10:BD$49="")),0)+COUNTIF(Gradebook!BD$10:BD$49,"M"))</f>
        <v/>
      </c>
    </row>
    <row r="50">
      <c r="A50" s="6" t="n">
        <v>45</v>
      </c>
      <c r="B50" s="22" t="n"/>
      <c r="C50" s="22" t="n"/>
      <c r="D50" s="22" t="n"/>
      <c r="E50" s="24" t="n"/>
      <c r="F50" s="23" t="n"/>
      <c r="G50" s="33">
        <f>IF(B50="","",IF(F50&lt;&gt;"",F50,IFERROR(INDEX(Pacing!$F$6:$F$25,MATCH(C50,Pacing!$B$6:$B$25,0)),"")))</f>
        <v/>
      </c>
      <c r="H50" s="34">
        <f>IF(G50="","",INT((G50-Setup!$B$6)/7)+1)</f>
        <v/>
      </c>
      <c r="I50" s="39">
        <f>IF(AND(B50&lt;&gt;"",G50&lt;&gt;""),IF(G50&lt;=Setup!$B$8,1,0),0)</f>
        <v/>
      </c>
      <c r="J50" s="40">
        <f>IF(OR(B50="",N(E50)=0),"",IFERROR(AVERAGE(Gradebook!BE$10:BE$49)/E50,""))</f>
        <v/>
      </c>
      <c r="K50" s="40">
        <f>IF(I50&lt;&gt;1,"",IFERROR(COUNT(Gradebook!BE$10:BE$49)/(SUMPRODUCT(--(Gradebook!$B$10:$B$49&lt;&gt;""))-COUNTIF(Gradebook!BE$10:BE$49,"EX")),""))</f>
        <v/>
      </c>
      <c r="L50" s="41">
        <f>IF(B50="","",IF(I50=1,SUMPRODUCT((Gradebook!$B$10:$B$49&lt;&gt;"")*(Gradebook!BE$10:BE$49="")),0)+COUNTIF(Gradebook!BE$10:BE$49,"M"))</f>
        <v/>
      </c>
    </row>
    <row r="51">
      <c r="A51" s="6" t="n">
        <v>46</v>
      </c>
      <c r="B51" s="22" t="n"/>
      <c r="C51" s="22" t="n"/>
      <c r="D51" s="22" t="n"/>
      <c r="E51" s="24" t="n"/>
      <c r="F51" s="23" t="n"/>
      <c r="G51" s="33">
        <f>IF(B51="","",IF(F51&lt;&gt;"",F51,IFERROR(INDEX(Pacing!$F$6:$F$25,MATCH(C51,Pacing!$B$6:$B$25,0)),"")))</f>
        <v/>
      </c>
      <c r="H51" s="34">
        <f>IF(G51="","",INT((G51-Setup!$B$6)/7)+1)</f>
        <v/>
      </c>
      <c r="I51" s="39">
        <f>IF(AND(B51&lt;&gt;"",G51&lt;&gt;""),IF(G51&lt;=Setup!$B$8,1,0),0)</f>
        <v/>
      </c>
      <c r="J51" s="40">
        <f>IF(OR(B51="",N(E51)=0),"",IFERROR(AVERAGE(Gradebook!BF$10:BF$49)/E51,""))</f>
        <v/>
      </c>
      <c r="K51" s="40">
        <f>IF(I51&lt;&gt;1,"",IFERROR(COUNT(Gradebook!BF$10:BF$49)/(SUMPRODUCT(--(Gradebook!$B$10:$B$49&lt;&gt;""))-COUNTIF(Gradebook!BF$10:BF$49,"EX")),""))</f>
        <v/>
      </c>
      <c r="L51" s="41">
        <f>IF(B51="","",IF(I51=1,SUMPRODUCT((Gradebook!$B$10:$B$49&lt;&gt;"")*(Gradebook!BF$10:BF$49="")),0)+COUNTIF(Gradebook!BF$10:BF$49,"M"))</f>
        <v/>
      </c>
    </row>
    <row r="52">
      <c r="A52" s="6" t="n">
        <v>47</v>
      </c>
      <c r="B52" s="22" t="n"/>
      <c r="C52" s="22" t="n"/>
      <c r="D52" s="22" t="n"/>
      <c r="E52" s="24" t="n"/>
      <c r="F52" s="23" t="n"/>
      <c r="G52" s="33">
        <f>IF(B52="","",IF(F52&lt;&gt;"",F52,IFERROR(INDEX(Pacing!$F$6:$F$25,MATCH(C52,Pacing!$B$6:$B$25,0)),"")))</f>
        <v/>
      </c>
      <c r="H52" s="34">
        <f>IF(G52="","",INT((G52-Setup!$B$6)/7)+1)</f>
        <v/>
      </c>
      <c r="I52" s="39">
        <f>IF(AND(B52&lt;&gt;"",G52&lt;&gt;""),IF(G52&lt;=Setup!$B$8,1,0),0)</f>
        <v/>
      </c>
      <c r="J52" s="40">
        <f>IF(OR(B52="",N(E52)=0),"",IFERROR(AVERAGE(Gradebook!BG$10:BG$49)/E52,""))</f>
        <v/>
      </c>
      <c r="K52" s="40">
        <f>IF(I52&lt;&gt;1,"",IFERROR(COUNT(Gradebook!BG$10:BG$49)/(SUMPRODUCT(--(Gradebook!$B$10:$B$49&lt;&gt;""))-COUNTIF(Gradebook!BG$10:BG$49,"EX")),""))</f>
        <v/>
      </c>
      <c r="L52" s="41">
        <f>IF(B52="","",IF(I52=1,SUMPRODUCT((Gradebook!$B$10:$B$49&lt;&gt;"")*(Gradebook!BG$10:BG$49="")),0)+COUNTIF(Gradebook!BG$10:BG$49,"M"))</f>
        <v/>
      </c>
    </row>
    <row r="53">
      <c r="A53" s="6" t="n">
        <v>48</v>
      </c>
      <c r="B53" s="22" t="n"/>
      <c r="C53" s="22" t="n"/>
      <c r="D53" s="22" t="n"/>
      <c r="E53" s="24" t="n"/>
      <c r="F53" s="23" t="n"/>
      <c r="G53" s="33">
        <f>IF(B53="","",IF(F53&lt;&gt;"",F53,IFERROR(INDEX(Pacing!$F$6:$F$25,MATCH(C53,Pacing!$B$6:$B$25,0)),"")))</f>
        <v/>
      </c>
      <c r="H53" s="34">
        <f>IF(G53="","",INT((G53-Setup!$B$6)/7)+1)</f>
        <v/>
      </c>
      <c r="I53" s="39">
        <f>IF(AND(B53&lt;&gt;"",G53&lt;&gt;""),IF(G53&lt;=Setup!$B$8,1,0),0)</f>
        <v/>
      </c>
      <c r="J53" s="40">
        <f>IF(OR(B53="",N(E53)=0),"",IFERROR(AVERAGE(Gradebook!BH$10:BH$49)/E53,""))</f>
        <v/>
      </c>
      <c r="K53" s="40">
        <f>IF(I53&lt;&gt;1,"",IFERROR(COUNT(Gradebook!BH$10:BH$49)/(SUMPRODUCT(--(Gradebook!$B$10:$B$49&lt;&gt;""))-COUNTIF(Gradebook!BH$10:BH$49,"EX")),""))</f>
        <v/>
      </c>
      <c r="L53" s="41">
        <f>IF(B53="","",IF(I53=1,SUMPRODUCT((Gradebook!$B$10:$B$49&lt;&gt;"")*(Gradebook!BH$10:BH$49="")),0)+COUNTIF(Gradebook!BH$10:BH$49,"M"))</f>
        <v/>
      </c>
    </row>
    <row r="54">
      <c r="A54" s="6" t="n">
        <v>49</v>
      </c>
      <c r="B54" s="22" t="n"/>
      <c r="C54" s="22" t="n"/>
      <c r="D54" s="22" t="n"/>
      <c r="E54" s="24" t="n"/>
      <c r="F54" s="23" t="n"/>
      <c r="G54" s="33">
        <f>IF(B54="","",IF(F54&lt;&gt;"",F54,IFERROR(INDEX(Pacing!$F$6:$F$25,MATCH(C54,Pacing!$B$6:$B$25,0)),"")))</f>
        <v/>
      </c>
      <c r="H54" s="34">
        <f>IF(G54="","",INT((G54-Setup!$B$6)/7)+1)</f>
        <v/>
      </c>
      <c r="I54" s="39">
        <f>IF(AND(B54&lt;&gt;"",G54&lt;&gt;""),IF(G54&lt;=Setup!$B$8,1,0),0)</f>
        <v/>
      </c>
      <c r="J54" s="40">
        <f>IF(OR(B54="",N(E54)=0),"",IFERROR(AVERAGE(Gradebook!BI$10:BI$49)/E54,""))</f>
        <v/>
      </c>
      <c r="K54" s="40">
        <f>IF(I54&lt;&gt;1,"",IFERROR(COUNT(Gradebook!BI$10:BI$49)/(SUMPRODUCT(--(Gradebook!$B$10:$B$49&lt;&gt;""))-COUNTIF(Gradebook!BI$10:BI$49,"EX")),""))</f>
        <v/>
      </c>
      <c r="L54" s="41">
        <f>IF(B54="","",IF(I54=1,SUMPRODUCT((Gradebook!$B$10:$B$49&lt;&gt;"")*(Gradebook!BI$10:BI$49="")),0)+COUNTIF(Gradebook!BI$10:BI$49,"M"))</f>
        <v/>
      </c>
    </row>
    <row r="55">
      <c r="A55" s="6" t="n">
        <v>50</v>
      </c>
      <c r="B55" s="22" t="n"/>
      <c r="C55" s="22" t="n"/>
      <c r="D55" s="22" t="n"/>
      <c r="E55" s="24" t="n"/>
      <c r="F55" s="23" t="n"/>
      <c r="G55" s="33">
        <f>IF(B55="","",IF(F55&lt;&gt;"",F55,IFERROR(INDEX(Pacing!$F$6:$F$25,MATCH(C55,Pacing!$B$6:$B$25,0)),"")))</f>
        <v/>
      </c>
      <c r="H55" s="34">
        <f>IF(G55="","",INT((G55-Setup!$B$6)/7)+1)</f>
        <v/>
      </c>
      <c r="I55" s="39">
        <f>IF(AND(B55&lt;&gt;"",G55&lt;&gt;""),IF(G55&lt;=Setup!$B$8,1,0),0)</f>
        <v/>
      </c>
      <c r="J55" s="40">
        <f>IF(OR(B55="",N(E55)=0),"",IFERROR(AVERAGE(Gradebook!BJ$10:BJ$49)/E55,""))</f>
        <v/>
      </c>
      <c r="K55" s="40">
        <f>IF(I55&lt;&gt;1,"",IFERROR(COUNT(Gradebook!BJ$10:BJ$49)/(SUMPRODUCT(--(Gradebook!$B$10:$B$49&lt;&gt;""))-COUNTIF(Gradebook!BJ$10:BJ$49,"EX")),""))</f>
        <v/>
      </c>
      <c r="L55" s="41">
        <f>IF(B55="","",IF(I55=1,SUMPRODUCT((Gradebook!$B$10:$B$49&lt;&gt;"")*(Gradebook!BJ$10:BJ$49="")),0)+COUNTIF(Gradebook!BJ$10:BJ$49,"M"))</f>
        <v/>
      </c>
    </row>
    <row r="56">
      <c r="A56" s="6" t="n">
        <v>51</v>
      </c>
      <c r="B56" s="22" t="n"/>
      <c r="C56" s="22" t="n"/>
      <c r="D56" s="22" t="n"/>
      <c r="E56" s="24" t="n"/>
      <c r="F56" s="23" t="n"/>
      <c r="G56" s="33">
        <f>IF(B56="","",IF(F56&lt;&gt;"",F56,IFERROR(INDEX(Pacing!$F$6:$F$25,MATCH(C56,Pacing!$B$6:$B$25,0)),"")))</f>
        <v/>
      </c>
      <c r="H56" s="34">
        <f>IF(G56="","",INT((G56-Setup!$B$6)/7)+1)</f>
        <v/>
      </c>
      <c r="I56" s="39">
        <f>IF(AND(B56&lt;&gt;"",G56&lt;&gt;""),IF(G56&lt;=Setup!$B$8,1,0),0)</f>
        <v/>
      </c>
      <c r="J56" s="40">
        <f>IF(OR(B56="",N(E56)=0),"",IFERROR(AVERAGE(Gradebook!BK$10:BK$49)/E56,""))</f>
        <v/>
      </c>
      <c r="K56" s="40">
        <f>IF(I56&lt;&gt;1,"",IFERROR(COUNT(Gradebook!BK$10:BK$49)/(SUMPRODUCT(--(Gradebook!$B$10:$B$49&lt;&gt;""))-COUNTIF(Gradebook!BK$10:BK$49,"EX")),""))</f>
        <v/>
      </c>
      <c r="L56" s="41">
        <f>IF(B56="","",IF(I56=1,SUMPRODUCT((Gradebook!$B$10:$B$49&lt;&gt;"")*(Gradebook!BK$10:BK$49="")),0)+COUNTIF(Gradebook!BK$10:BK$49,"M"))</f>
        <v/>
      </c>
    </row>
    <row r="57">
      <c r="A57" s="6" t="n">
        <v>52</v>
      </c>
      <c r="B57" s="22" t="n"/>
      <c r="C57" s="22" t="n"/>
      <c r="D57" s="22" t="n"/>
      <c r="E57" s="24" t="n"/>
      <c r="F57" s="23" t="n"/>
      <c r="G57" s="33">
        <f>IF(B57="","",IF(F57&lt;&gt;"",F57,IFERROR(INDEX(Pacing!$F$6:$F$25,MATCH(C57,Pacing!$B$6:$B$25,0)),"")))</f>
        <v/>
      </c>
      <c r="H57" s="34">
        <f>IF(G57="","",INT((G57-Setup!$B$6)/7)+1)</f>
        <v/>
      </c>
      <c r="I57" s="39">
        <f>IF(AND(B57&lt;&gt;"",G57&lt;&gt;""),IF(G57&lt;=Setup!$B$8,1,0),0)</f>
        <v/>
      </c>
      <c r="J57" s="40">
        <f>IF(OR(B57="",N(E57)=0),"",IFERROR(AVERAGE(Gradebook!BL$10:BL$49)/E57,""))</f>
        <v/>
      </c>
      <c r="K57" s="40">
        <f>IF(I57&lt;&gt;1,"",IFERROR(COUNT(Gradebook!BL$10:BL$49)/(SUMPRODUCT(--(Gradebook!$B$10:$B$49&lt;&gt;""))-COUNTIF(Gradebook!BL$10:BL$49,"EX")),""))</f>
        <v/>
      </c>
      <c r="L57" s="41">
        <f>IF(B57="","",IF(I57=1,SUMPRODUCT((Gradebook!$B$10:$B$49&lt;&gt;"")*(Gradebook!BL$10:BL$49="")),0)+COUNTIF(Gradebook!BL$10:BL$49,"M"))</f>
        <v/>
      </c>
    </row>
    <row r="58">
      <c r="A58" s="6" t="n">
        <v>53</v>
      </c>
      <c r="B58" s="22" t="n"/>
      <c r="C58" s="22" t="n"/>
      <c r="D58" s="22" t="n"/>
      <c r="E58" s="24" t="n"/>
      <c r="F58" s="23" t="n"/>
      <c r="G58" s="33">
        <f>IF(B58="","",IF(F58&lt;&gt;"",F58,IFERROR(INDEX(Pacing!$F$6:$F$25,MATCH(C58,Pacing!$B$6:$B$25,0)),"")))</f>
        <v/>
      </c>
      <c r="H58" s="34">
        <f>IF(G58="","",INT((G58-Setup!$B$6)/7)+1)</f>
        <v/>
      </c>
      <c r="I58" s="39">
        <f>IF(AND(B58&lt;&gt;"",G58&lt;&gt;""),IF(G58&lt;=Setup!$B$8,1,0),0)</f>
        <v/>
      </c>
      <c r="J58" s="40">
        <f>IF(OR(B58="",N(E58)=0),"",IFERROR(AVERAGE(Gradebook!BM$10:BM$49)/E58,""))</f>
        <v/>
      </c>
      <c r="K58" s="40">
        <f>IF(I58&lt;&gt;1,"",IFERROR(COUNT(Gradebook!BM$10:BM$49)/(SUMPRODUCT(--(Gradebook!$B$10:$B$49&lt;&gt;""))-COUNTIF(Gradebook!BM$10:BM$49,"EX")),""))</f>
        <v/>
      </c>
      <c r="L58" s="41">
        <f>IF(B58="","",IF(I58=1,SUMPRODUCT((Gradebook!$B$10:$B$49&lt;&gt;"")*(Gradebook!BM$10:BM$49="")),0)+COUNTIF(Gradebook!BM$10:BM$49,"M"))</f>
        <v/>
      </c>
    </row>
    <row r="59">
      <c r="A59" s="6" t="n">
        <v>54</v>
      </c>
      <c r="B59" s="22" t="n"/>
      <c r="C59" s="22" t="n"/>
      <c r="D59" s="22" t="n"/>
      <c r="E59" s="24" t="n"/>
      <c r="F59" s="23" t="n"/>
      <c r="G59" s="33">
        <f>IF(B59="","",IF(F59&lt;&gt;"",F59,IFERROR(INDEX(Pacing!$F$6:$F$25,MATCH(C59,Pacing!$B$6:$B$25,0)),"")))</f>
        <v/>
      </c>
      <c r="H59" s="34">
        <f>IF(G59="","",INT((G59-Setup!$B$6)/7)+1)</f>
        <v/>
      </c>
      <c r="I59" s="39">
        <f>IF(AND(B59&lt;&gt;"",G59&lt;&gt;""),IF(G59&lt;=Setup!$B$8,1,0),0)</f>
        <v/>
      </c>
      <c r="J59" s="40">
        <f>IF(OR(B59="",N(E59)=0),"",IFERROR(AVERAGE(Gradebook!BN$10:BN$49)/E59,""))</f>
        <v/>
      </c>
      <c r="K59" s="40">
        <f>IF(I59&lt;&gt;1,"",IFERROR(COUNT(Gradebook!BN$10:BN$49)/(SUMPRODUCT(--(Gradebook!$B$10:$B$49&lt;&gt;""))-COUNTIF(Gradebook!BN$10:BN$49,"EX")),""))</f>
        <v/>
      </c>
      <c r="L59" s="41">
        <f>IF(B59="","",IF(I59=1,SUMPRODUCT((Gradebook!$B$10:$B$49&lt;&gt;"")*(Gradebook!BN$10:BN$49="")),0)+COUNTIF(Gradebook!BN$10:BN$49,"M"))</f>
        <v/>
      </c>
    </row>
    <row r="60">
      <c r="A60" s="6" t="n">
        <v>55</v>
      </c>
      <c r="B60" s="22" t="n"/>
      <c r="C60" s="22" t="n"/>
      <c r="D60" s="22" t="n"/>
      <c r="E60" s="24" t="n"/>
      <c r="F60" s="23" t="n"/>
      <c r="G60" s="33">
        <f>IF(B60="","",IF(F60&lt;&gt;"",F60,IFERROR(INDEX(Pacing!$F$6:$F$25,MATCH(C60,Pacing!$B$6:$B$25,0)),"")))</f>
        <v/>
      </c>
      <c r="H60" s="34">
        <f>IF(G60="","",INT((G60-Setup!$B$6)/7)+1)</f>
        <v/>
      </c>
      <c r="I60" s="39">
        <f>IF(AND(B60&lt;&gt;"",G60&lt;&gt;""),IF(G60&lt;=Setup!$B$8,1,0),0)</f>
        <v/>
      </c>
      <c r="J60" s="40">
        <f>IF(OR(B60="",N(E60)=0),"",IFERROR(AVERAGE(Gradebook!BO$10:BO$49)/E60,""))</f>
        <v/>
      </c>
      <c r="K60" s="40">
        <f>IF(I60&lt;&gt;1,"",IFERROR(COUNT(Gradebook!BO$10:BO$49)/(SUMPRODUCT(--(Gradebook!$B$10:$B$49&lt;&gt;""))-COUNTIF(Gradebook!BO$10:BO$49,"EX")),""))</f>
        <v/>
      </c>
      <c r="L60" s="41">
        <f>IF(B60="","",IF(I60=1,SUMPRODUCT((Gradebook!$B$10:$B$49&lt;&gt;"")*(Gradebook!BO$10:BO$49="")),0)+COUNTIF(Gradebook!BO$10:BO$49,"M"))</f>
        <v/>
      </c>
    </row>
    <row r="61">
      <c r="A61" s="6" t="n">
        <v>56</v>
      </c>
      <c r="B61" s="22" t="n"/>
      <c r="C61" s="22" t="n"/>
      <c r="D61" s="22" t="n"/>
      <c r="E61" s="24" t="n"/>
      <c r="F61" s="23" t="n"/>
      <c r="G61" s="33">
        <f>IF(B61="","",IF(F61&lt;&gt;"",F61,IFERROR(INDEX(Pacing!$F$6:$F$25,MATCH(C61,Pacing!$B$6:$B$25,0)),"")))</f>
        <v/>
      </c>
      <c r="H61" s="34">
        <f>IF(G61="","",INT((G61-Setup!$B$6)/7)+1)</f>
        <v/>
      </c>
      <c r="I61" s="39">
        <f>IF(AND(B61&lt;&gt;"",G61&lt;&gt;""),IF(G61&lt;=Setup!$B$8,1,0),0)</f>
        <v/>
      </c>
      <c r="J61" s="40">
        <f>IF(OR(B61="",N(E61)=0),"",IFERROR(AVERAGE(Gradebook!BP$10:BP$49)/E61,""))</f>
        <v/>
      </c>
      <c r="K61" s="40">
        <f>IF(I61&lt;&gt;1,"",IFERROR(COUNT(Gradebook!BP$10:BP$49)/(SUMPRODUCT(--(Gradebook!$B$10:$B$49&lt;&gt;""))-COUNTIF(Gradebook!BP$10:BP$49,"EX")),""))</f>
        <v/>
      </c>
      <c r="L61" s="41">
        <f>IF(B61="","",IF(I61=1,SUMPRODUCT((Gradebook!$B$10:$B$49&lt;&gt;"")*(Gradebook!BP$10:BP$49="")),0)+COUNTIF(Gradebook!BP$10:BP$49,"M"))</f>
        <v/>
      </c>
    </row>
    <row r="62">
      <c r="A62" s="6" t="n">
        <v>57</v>
      </c>
      <c r="B62" s="22" t="n"/>
      <c r="C62" s="22" t="n"/>
      <c r="D62" s="22" t="n"/>
      <c r="E62" s="24" t="n"/>
      <c r="F62" s="23" t="n"/>
      <c r="G62" s="33">
        <f>IF(B62="","",IF(F62&lt;&gt;"",F62,IFERROR(INDEX(Pacing!$F$6:$F$25,MATCH(C62,Pacing!$B$6:$B$25,0)),"")))</f>
        <v/>
      </c>
      <c r="H62" s="34">
        <f>IF(G62="","",INT((G62-Setup!$B$6)/7)+1)</f>
        <v/>
      </c>
      <c r="I62" s="39">
        <f>IF(AND(B62&lt;&gt;"",G62&lt;&gt;""),IF(G62&lt;=Setup!$B$8,1,0),0)</f>
        <v/>
      </c>
      <c r="J62" s="40">
        <f>IF(OR(B62="",N(E62)=0),"",IFERROR(AVERAGE(Gradebook!BQ$10:BQ$49)/E62,""))</f>
        <v/>
      </c>
      <c r="K62" s="40">
        <f>IF(I62&lt;&gt;1,"",IFERROR(COUNT(Gradebook!BQ$10:BQ$49)/(SUMPRODUCT(--(Gradebook!$B$10:$B$49&lt;&gt;""))-COUNTIF(Gradebook!BQ$10:BQ$49,"EX")),""))</f>
        <v/>
      </c>
      <c r="L62" s="41">
        <f>IF(B62="","",IF(I62=1,SUMPRODUCT((Gradebook!$B$10:$B$49&lt;&gt;"")*(Gradebook!BQ$10:BQ$49="")),0)+COUNTIF(Gradebook!BQ$10:BQ$49,"M"))</f>
        <v/>
      </c>
    </row>
    <row r="63">
      <c r="A63" s="6" t="n">
        <v>58</v>
      </c>
      <c r="B63" s="22" t="n"/>
      <c r="C63" s="22" t="n"/>
      <c r="D63" s="22" t="n"/>
      <c r="E63" s="24" t="n"/>
      <c r="F63" s="23" t="n"/>
      <c r="G63" s="33">
        <f>IF(B63="","",IF(F63&lt;&gt;"",F63,IFERROR(INDEX(Pacing!$F$6:$F$25,MATCH(C63,Pacing!$B$6:$B$25,0)),"")))</f>
        <v/>
      </c>
      <c r="H63" s="34">
        <f>IF(G63="","",INT((G63-Setup!$B$6)/7)+1)</f>
        <v/>
      </c>
      <c r="I63" s="39">
        <f>IF(AND(B63&lt;&gt;"",G63&lt;&gt;""),IF(G63&lt;=Setup!$B$8,1,0),0)</f>
        <v/>
      </c>
      <c r="J63" s="40">
        <f>IF(OR(B63="",N(E63)=0),"",IFERROR(AVERAGE(Gradebook!BR$10:BR$49)/E63,""))</f>
        <v/>
      </c>
      <c r="K63" s="40">
        <f>IF(I63&lt;&gt;1,"",IFERROR(COUNT(Gradebook!BR$10:BR$49)/(SUMPRODUCT(--(Gradebook!$B$10:$B$49&lt;&gt;""))-COUNTIF(Gradebook!BR$10:BR$49,"EX")),""))</f>
        <v/>
      </c>
      <c r="L63" s="41">
        <f>IF(B63="","",IF(I63=1,SUMPRODUCT((Gradebook!$B$10:$B$49&lt;&gt;"")*(Gradebook!BR$10:BR$49="")),0)+COUNTIF(Gradebook!BR$10:BR$49,"M"))</f>
        <v/>
      </c>
    </row>
    <row r="64">
      <c r="A64" s="6" t="n">
        <v>59</v>
      </c>
      <c r="B64" s="22" t="n"/>
      <c r="C64" s="22" t="n"/>
      <c r="D64" s="22" t="n"/>
      <c r="E64" s="24" t="n"/>
      <c r="F64" s="23" t="n"/>
      <c r="G64" s="33">
        <f>IF(B64="","",IF(F64&lt;&gt;"",F64,IFERROR(INDEX(Pacing!$F$6:$F$25,MATCH(C64,Pacing!$B$6:$B$25,0)),"")))</f>
        <v/>
      </c>
      <c r="H64" s="34">
        <f>IF(G64="","",INT((G64-Setup!$B$6)/7)+1)</f>
        <v/>
      </c>
      <c r="I64" s="39">
        <f>IF(AND(B64&lt;&gt;"",G64&lt;&gt;""),IF(G64&lt;=Setup!$B$8,1,0),0)</f>
        <v/>
      </c>
      <c r="J64" s="40">
        <f>IF(OR(B64="",N(E64)=0),"",IFERROR(AVERAGE(Gradebook!BS$10:BS$49)/E64,""))</f>
        <v/>
      </c>
      <c r="K64" s="40">
        <f>IF(I64&lt;&gt;1,"",IFERROR(COUNT(Gradebook!BS$10:BS$49)/(SUMPRODUCT(--(Gradebook!$B$10:$B$49&lt;&gt;""))-COUNTIF(Gradebook!BS$10:BS$49,"EX")),""))</f>
        <v/>
      </c>
      <c r="L64" s="41">
        <f>IF(B64="","",IF(I64=1,SUMPRODUCT((Gradebook!$B$10:$B$49&lt;&gt;"")*(Gradebook!BS$10:BS$49="")),0)+COUNTIF(Gradebook!BS$10:BS$49,"M"))</f>
        <v/>
      </c>
    </row>
    <row r="65">
      <c r="A65" s="6" t="n">
        <v>60</v>
      </c>
      <c r="B65" s="22" t="n"/>
      <c r="C65" s="22" t="n"/>
      <c r="D65" s="22" t="n"/>
      <c r="E65" s="24" t="n"/>
      <c r="F65" s="23" t="n"/>
      <c r="G65" s="33">
        <f>IF(B65="","",IF(F65&lt;&gt;"",F65,IFERROR(INDEX(Pacing!$F$6:$F$25,MATCH(C65,Pacing!$B$6:$B$25,0)),"")))</f>
        <v/>
      </c>
      <c r="H65" s="34">
        <f>IF(G65="","",INT((G65-Setup!$B$6)/7)+1)</f>
        <v/>
      </c>
      <c r="I65" s="39">
        <f>IF(AND(B65&lt;&gt;"",G65&lt;&gt;""),IF(G65&lt;=Setup!$B$8,1,0),0)</f>
        <v/>
      </c>
      <c r="J65" s="40">
        <f>IF(OR(B65="",N(E65)=0),"",IFERROR(AVERAGE(Gradebook!BT$10:BT$49)/E65,""))</f>
        <v/>
      </c>
      <c r="K65" s="40">
        <f>IF(I65&lt;&gt;1,"",IFERROR(COUNT(Gradebook!BT$10:BT$49)/(SUMPRODUCT(--(Gradebook!$B$10:$B$49&lt;&gt;""))-COUNTIF(Gradebook!BT$10:BT$49,"EX")),""))</f>
        <v/>
      </c>
      <c r="L65" s="41">
        <f>IF(B65="","",IF(I65=1,SUMPRODUCT((Gradebook!$B$10:$B$49&lt;&gt;"")*(Gradebook!BT$10:BT$49="")),0)+COUNTIF(Gradebook!BT$10:BT$49,"M"))</f>
        <v/>
      </c>
    </row>
  </sheetData>
  <conditionalFormatting sqref="K6:K65">
    <cfRule type="expression" priority="1" dxfId="0">
      <formula>AND(ISNUMBER(K6),K6&lt;$K$3)</formula>
    </cfRule>
  </conditionalFormatting>
  <dataValidations count="2">
    <dataValidation sqref="C6:C65" showDropDown="0" showInputMessage="0" showErrorMessage="0" allowBlank="1" type="list">
      <formula1>=Pacing!$B$6:$B$25</formula1>
    </dataValidation>
    <dataValidation sqref="D6:D65" showDropDown="0" showInputMessage="0" showErrorMessage="0" allowBlank="1" type="list">
      <formula1>=Setup!$A$12:$A$16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7495A"/>
    <outlinePr summaryBelow="1" summaryRight="1"/>
    <pageSetUpPr/>
  </sheetPr>
  <dimension ref="A1:BT49"/>
  <sheetViews>
    <sheetView showGridLines="0" workbookViewId="0">
      <pane xSplit="12" ySplit="9" topLeftCell="M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6" customWidth="1" min="4" max="4"/>
    <col width="8" customWidth="1" min="5" max="5"/>
    <col width="7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</cols>
  <sheetData>
    <row r="1" ht="28" customHeight="1">
      <c r="A1" s="42">
        <f>"Gradebook  |  "&amp;Setup!B4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s="3" t="inlineStr">
        <is>
          <t>Enter scores in the white grid.  M = missing (0).  EX = excused.  Blank + past due = missing.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</row>
    <row r="3">
      <c r="B3" s="43" t="inlineStr">
        <is>
          <t>At-risk lines:</t>
        </is>
      </c>
      <c r="C3" s="44">
        <f>Setup!B27</f>
        <v/>
      </c>
      <c r="E3" s="44">
        <f>Setup!B28</f>
        <v/>
      </c>
      <c r="G3" s="43" t="inlineStr">
        <is>
          <t>Weight</t>
        </is>
      </c>
      <c r="H3" s="44">
        <f>Setup!B12</f>
        <v/>
      </c>
      <c r="I3" s="44">
        <f>Setup!B13</f>
        <v/>
      </c>
      <c r="J3" s="44">
        <f>Setup!B14</f>
        <v/>
      </c>
      <c r="K3" s="44">
        <f>Setup!B15</f>
        <v/>
      </c>
      <c r="L3" s="44">
        <f>Setup!B16</f>
        <v/>
      </c>
    </row>
    <row r="4">
      <c r="M4" s="45" t="n">
        <v>1</v>
      </c>
      <c r="N4" s="45" t="n">
        <v>2</v>
      </c>
      <c r="O4" s="45" t="n">
        <v>3</v>
      </c>
      <c r="P4" s="45" t="n">
        <v>4</v>
      </c>
      <c r="Q4" s="45" t="n">
        <v>5</v>
      </c>
      <c r="R4" s="45" t="n">
        <v>6</v>
      </c>
      <c r="S4" s="45" t="n">
        <v>7</v>
      </c>
      <c r="T4" s="45" t="n">
        <v>8</v>
      </c>
      <c r="U4" s="45" t="n">
        <v>9</v>
      </c>
      <c r="V4" s="45" t="n">
        <v>10</v>
      </c>
      <c r="W4" s="45" t="n">
        <v>11</v>
      </c>
      <c r="X4" s="45" t="n">
        <v>12</v>
      </c>
      <c r="Y4" s="45" t="n">
        <v>13</v>
      </c>
      <c r="Z4" s="45" t="n">
        <v>14</v>
      </c>
      <c r="AA4" s="45" t="n">
        <v>15</v>
      </c>
      <c r="AB4" s="45" t="n">
        <v>16</v>
      </c>
      <c r="AC4" s="45" t="n">
        <v>17</v>
      </c>
      <c r="AD4" s="45" t="n">
        <v>18</v>
      </c>
      <c r="AE4" s="45" t="n">
        <v>19</v>
      </c>
      <c r="AF4" s="45" t="n">
        <v>20</v>
      </c>
      <c r="AG4" s="45" t="n">
        <v>21</v>
      </c>
      <c r="AH4" s="45" t="n">
        <v>22</v>
      </c>
      <c r="AI4" s="45" t="n">
        <v>23</v>
      </c>
      <c r="AJ4" s="45" t="n">
        <v>24</v>
      </c>
      <c r="AK4" s="45" t="n">
        <v>25</v>
      </c>
      <c r="AL4" s="45" t="n">
        <v>26</v>
      </c>
      <c r="AM4" s="45" t="n">
        <v>27</v>
      </c>
      <c r="AN4" s="45" t="n">
        <v>28</v>
      </c>
      <c r="AO4" s="45" t="n">
        <v>29</v>
      </c>
      <c r="AP4" s="45" t="n">
        <v>30</v>
      </c>
      <c r="AQ4" s="45" t="n">
        <v>31</v>
      </c>
      <c r="AR4" s="45" t="n">
        <v>32</v>
      </c>
      <c r="AS4" s="45" t="n">
        <v>33</v>
      </c>
      <c r="AT4" s="45" t="n">
        <v>34</v>
      </c>
      <c r="AU4" s="45" t="n">
        <v>35</v>
      </c>
      <c r="AV4" s="45" t="n">
        <v>36</v>
      </c>
      <c r="AW4" s="45" t="n">
        <v>37</v>
      </c>
      <c r="AX4" s="45" t="n">
        <v>38</v>
      </c>
      <c r="AY4" s="45" t="n">
        <v>39</v>
      </c>
      <c r="AZ4" s="45" t="n">
        <v>40</v>
      </c>
      <c r="BA4" s="45" t="n">
        <v>41</v>
      </c>
      <c r="BB4" s="45" t="n">
        <v>42</v>
      </c>
      <c r="BC4" s="45" t="n">
        <v>43</v>
      </c>
      <c r="BD4" s="45" t="n">
        <v>44</v>
      </c>
      <c r="BE4" s="45" t="n">
        <v>45</v>
      </c>
      <c r="BF4" s="45" t="n">
        <v>46</v>
      </c>
      <c r="BG4" s="45" t="n">
        <v>47</v>
      </c>
      <c r="BH4" s="45" t="n">
        <v>48</v>
      </c>
      <c r="BI4" s="45" t="n">
        <v>49</v>
      </c>
      <c r="BJ4" s="45" t="n">
        <v>50</v>
      </c>
      <c r="BK4" s="45" t="n">
        <v>51</v>
      </c>
      <c r="BL4" s="45" t="n">
        <v>52</v>
      </c>
      <c r="BM4" s="45" t="n">
        <v>53</v>
      </c>
      <c r="BN4" s="45" t="n">
        <v>54</v>
      </c>
      <c r="BO4" s="45" t="n">
        <v>55</v>
      </c>
      <c r="BP4" s="45" t="n">
        <v>56</v>
      </c>
      <c r="BQ4" s="45" t="n">
        <v>57</v>
      </c>
      <c r="BR4" s="45" t="n">
        <v>58</v>
      </c>
      <c r="BS4" s="45" t="n">
        <v>59</v>
      </c>
      <c r="BT4" s="45" t="n">
        <v>60</v>
      </c>
    </row>
    <row r="5" ht="118" customHeight="1">
      <c r="L5" s="43" t="inlineStr">
        <is>
          <t>Assignment &gt;</t>
        </is>
      </c>
      <c r="M5" s="46">
        <f>IF(INDEX(Assignments!$B$6:$B$65,M$4)="","",INDEX(Assignments!$B$6:$B$65,M$4))</f>
        <v/>
      </c>
      <c r="N5" s="46">
        <f>IF(INDEX(Assignments!$B$6:$B$65,N$4)="","",INDEX(Assignments!$B$6:$B$65,N$4))</f>
        <v/>
      </c>
      <c r="O5" s="46">
        <f>IF(INDEX(Assignments!$B$6:$B$65,O$4)="","",INDEX(Assignments!$B$6:$B$65,O$4))</f>
        <v/>
      </c>
      <c r="P5" s="46">
        <f>IF(INDEX(Assignments!$B$6:$B$65,P$4)="","",INDEX(Assignments!$B$6:$B$65,P$4))</f>
        <v/>
      </c>
      <c r="Q5" s="46">
        <f>IF(INDEX(Assignments!$B$6:$B$65,Q$4)="","",INDEX(Assignments!$B$6:$B$65,Q$4))</f>
        <v/>
      </c>
      <c r="R5" s="46">
        <f>IF(INDEX(Assignments!$B$6:$B$65,R$4)="","",INDEX(Assignments!$B$6:$B$65,R$4))</f>
        <v/>
      </c>
      <c r="S5" s="46">
        <f>IF(INDEX(Assignments!$B$6:$B$65,S$4)="","",INDEX(Assignments!$B$6:$B$65,S$4))</f>
        <v/>
      </c>
      <c r="T5" s="46">
        <f>IF(INDEX(Assignments!$B$6:$B$65,T$4)="","",INDEX(Assignments!$B$6:$B$65,T$4))</f>
        <v/>
      </c>
      <c r="U5" s="46">
        <f>IF(INDEX(Assignments!$B$6:$B$65,U$4)="","",INDEX(Assignments!$B$6:$B$65,U$4))</f>
        <v/>
      </c>
      <c r="V5" s="46">
        <f>IF(INDEX(Assignments!$B$6:$B$65,V$4)="","",INDEX(Assignments!$B$6:$B$65,V$4))</f>
        <v/>
      </c>
      <c r="W5" s="46">
        <f>IF(INDEX(Assignments!$B$6:$B$65,W$4)="","",INDEX(Assignments!$B$6:$B$65,W$4))</f>
        <v/>
      </c>
      <c r="X5" s="46">
        <f>IF(INDEX(Assignments!$B$6:$B$65,X$4)="","",INDEX(Assignments!$B$6:$B$65,X$4))</f>
        <v/>
      </c>
      <c r="Y5" s="46">
        <f>IF(INDEX(Assignments!$B$6:$B$65,Y$4)="","",INDEX(Assignments!$B$6:$B$65,Y$4))</f>
        <v/>
      </c>
      <c r="Z5" s="46">
        <f>IF(INDEX(Assignments!$B$6:$B$65,Z$4)="","",INDEX(Assignments!$B$6:$B$65,Z$4))</f>
        <v/>
      </c>
      <c r="AA5" s="46">
        <f>IF(INDEX(Assignments!$B$6:$B$65,AA$4)="","",INDEX(Assignments!$B$6:$B$65,AA$4))</f>
        <v/>
      </c>
      <c r="AB5" s="46">
        <f>IF(INDEX(Assignments!$B$6:$B$65,AB$4)="","",INDEX(Assignments!$B$6:$B$65,AB$4))</f>
        <v/>
      </c>
      <c r="AC5" s="46">
        <f>IF(INDEX(Assignments!$B$6:$B$65,AC$4)="","",INDEX(Assignments!$B$6:$B$65,AC$4))</f>
        <v/>
      </c>
      <c r="AD5" s="46">
        <f>IF(INDEX(Assignments!$B$6:$B$65,AD$4)="","",INDEX(Assignments!$B$6:$B$65,AD$4))</f>
        <v/>
      </c>
      <c r="AE5" s="46">
        <f>IF(INDEX(Assignments!$B$6:$B$65,AE$4)="","",INDEX(Assignments!$B$6:$B$65,AE$4))</f>
        <v/>
      </c>
      <c r="AF5" s="46">
        <f>IF(INDEX(Assignments!$B$6:$B$65,AF$4)="","",INDEX(Assignments!$B$6:$B$65,AF$4))</f>
        <v/>
      </c>
      <c r="AG5" s="46">
        <f>IF(INDEX(Assignments!$B$6:$B$65,AG$4)="","",INDEX(Assignments!$B$6:$B$65,AG$4))</f>
        <v/>
      </c>
      <c r="AH5" s="46">
        <f>IF(INDEX(Assignments!$B$6:$B$65,AH$4)="","",INDEX(Assignments!$B$6:$B$65,AH$4))</f>
        <v/>
      </c>
      <c r="AI5" s="46">
        <f>IF(INDEX(Assignments!$B$6:$B$65,AI$4)="","",INDEX(Assignments!$B$6:$B$65,AI$4))</f>
        <v/>
      </c>
      <c r="AJ5" s="46">
        <f>IF(INDEX(Assignments!$B$6:$B$65,AJ$4)="","",INDEX(Assignments!$B$6:$B$65,AJ$4))</f>
        <v/>
      </c>
      <c r="AK5" s="46">
        <f>IF(INDEX(Assignments!$B$6:$B$65,AK$4)="","",INDEX(Assignments!$B$6:$B$65,AK$4))</f>
        <v/>
      </c>
      <c r="AL5" s="46">
        <f>IF(INDEX(Assignments!$B$6:$B$65,AL$4)="","",INDEX(Assignments!$B$6:$B$65,AL$4))</f>
        <v/>
      </c>
      <c r="AM5" s="46">
        <f>IF(INDEX(Assignments!$B$6:$B$65,AM$4)="","",INDEX(Assignments!$B$6:$B$65,AM$4))</f>
        <v/>
      </c>
      <c r="AN5" s="46">
        <f>IF(INDEX(Assignments!$B$6:$B$65,AN$4)="","",INDEX(Assignments!$B$6:$B$65,AN$4))</f>
        <v/>
      </c>
      <c r="AO5" s="46">
        <f>IF(INDEX(Assignments!$B$6:$B$65,AO$4)="","",INDEX(Assignments!$B$6:$B$65,AO$4))</f>
        <v/>
      </c>
      <c r="AP5" s="46">
        <f>IF(INDEX(Assignments!$B$6:$B$65,AP$4)="","",INDEX(Assignments!$B$6:$B$65,AP$4))</f>
        <v/>
      </c>
      <c r="AQ5" s="46">
        <f>IF(INDEX(Assignments!$B$6:$B$65,AQ$4)="","",INDEX(Assignments!$B$6:$B$65,AQ$4))</f>
        <v/>
      </c>
      <c r="AR5" s="46">
        <f>IF(INDEX(Assignments!$B$6:$B$65,AR$4)="","",INDEX(Assignments!$B$6:$B$65,AR$4))</f>
        <v/>
      </c>
      <c r="AS5" s="46">
        <f>IF(INDEX(Assignments!$B$6:$B$65,AS$4)="","",INDEX(Assignments!$B$6:$B$65,AS$4))</f>
        <v/>
      </c>
      <c r="AT5" s="46">
        <f>IF(INDEX(Assignments!$B$6:$B$65,AT$4)="","",INDEX(Assignments!$B$6:$B$65,AT$4))</f>
        <v/>
      </c>
      <c r="AU5" s="46">
        <f>IF(INDEX(Assignments!$B$6:$B$65,AU$4)="","",INDEX(Assignments!$B$6:$B$65,AU$4))</f>
        <v/>
      </c>
      <c r="AV5" s="46">
        <f>IF(INDEX(Assignments!$B$6:$B$65,AV$4)="","",INDEX(Assignments!$B$6:$B$65,AV$4))</f>
        <v/>
      </c>
      <c r="AW5" s="46">
        <f>IF(INDEX(Assignments!$B$6:$B$65,AW$4)="","",INDEX(Assignments!$B$6:$B$65,AW$4))</f>
        <v/>
      </c>
      <c r="AX5" s="46">
        <f>IF(INDEX(Assignments!$B$6:$B$65,AX$4)="","",INDEX(Assignments!$B$6:$B$65,AX$4))</f>
        <v/>
      </c>
      <c r="AY5" s="46">
        <f>IF(INDEX(Assignments!$B$6:$B$65,AY$4)="","",INDEX(Assignments!$B$6:$B$65,AY$4))</f>
        <v/>
      </c>
      <c r="AZ5" s="46">
        <f>IF(INDEX(Assignments!$B$6:$B$65,AZ$4)="","",INDEX(Assignments!$B$6:$B$65,AZ$4))</f>
        <v/>
      </c>
      <c r="BA5" s="46">
        <f>IF(INDEX(Assignments!$B$6:$B$65,BA$4)="","",INDEX(Assignments!$B$6:$B$65,BA$4))</f>
        <v/>
      </c>
      <c r="BB5" s="46">
        <f>IF(INDEX(Assignments!$B$6:$B$65,BB$4)="","",INDEX(Assignments!$B$6:$B$65,BB$4))</f>
        <v/>
      </c>
      <c r="BC5" s="46">
        <f>IF(INDEX(Assignments!$B$6:$B$65,BC$4)="","",INDEX(Assignments!$B$6:$B$65,BC$4))</f>
        <v/>
      </c>
      <c r="BD5" s="46">
        <f>IF(INDEX(Assignments!$B$6:$B$65,BD$4)="","",INDEX(Assignments!$B$6:$B$65,BD$4))</f>
        <v/>
      </c>
      <c r="BE5" s="46">
        <f>IF(INDEX(Assignments!$B$6:$B$65,BE$4)="","",INDEX(Assignments!$B$6:$B$65,BE$4))</f>
        <v/>
      </c>
      <c r="BF5" s="46">
        <f>IF(INDEX(Assignments!$B$6:$B$65,BF$4)="","",INDEX(Assignments!$B$6:$B$65,BF$4))</f>
        <v/>
      </c>
      <c r="BG5" s="46">
        <f>IF(INDEX(Assignments!$B$6:$B$65,BG$4)="","",INDEX(Assignments!$B$6:$B$65,BG$4))</f>
        <v/>
      </c>
      <c r="BH5" s="46">
        <f>IF(INDEX(Assignments!$B$6:$B$65,BH$4)="","",INDEX(Assignments!$B$6:$B$65,BH$4))</f>
        <v/>
      </c>
      <c r="BI5" s="46">
        <f>IF(INDEX(Assignments!$B$6:$B$65,BI$4)="","",INDEX(Assignments!$B$6:$B$65,BI$4))</f>
        <v/>
      </c>
      <c r="BJ5" s="46">
        <f>IF(INDEX(Assignments!$B$6:$B$65,BJ$4)="","",INDEX(Assignments!$B$6:$B$65,BJ$4))</f>
        <v/>
      </c>
      <c r="BK5" s="46">
        <f>IF(INDEX(Assignments!$B$6:$B$65,BK$4)="","",INDEX(Assignments!$B$6:$B$65,BK$4))</f>
        <v/>
      </c>
      <c r="BL5" s="46">
        <f>IF(INDEX(Assignments!$B$6:$B$65,BL$4)="","",INDEX(Assignments!$B$6:$B$65,BL$4))</f>
        <v/>
      </c>
      <c r="BM5" s="46">
        <f>IF(INDEX(Assignments!$B$6:$B$65,BM$4)="","",INDEX(Assignments!$B$6:$B$65,BM$4))</f>
        <v/>
      </c>
      <c r="BN5" s="46">
        <f>IF(INDEX(Assignments!$B$6:$B$65,BN$4)="","",INDEX(Assignments!$B$6:$B$65,BN$4))</f>
        <v/>
      </c>
      <c r="BO5" s="46">
        <f>IF(INDEX(Assignments!$B$6:$B$65,BO$4)="","",INDEX(Assignments!$B$6:$B$65,BO$4))</f>
        <v/>
      </c>
      <c r="BP5" s="46">
        <f>IF(INDEX(Assignments!$B$6:$B$65,BP$4)="","",INDEX(Assignments!$B$6:$B$65,BP$4))</f>
        <v/>
      </c>
      <c r="BQ5" s="46">
        <f>IF(INDEX(Assignments!$B$6:$B$65,BQ$4)="","",INDEX(Assignments!$B$6:$B$65,BQ$4))</f>
        <v/>
      </c>
      <c r="BR5" s="46">
        <f>IF(INDEX(Assignments!$B$6:$B$65,BR$4)="","",INDEX(Assignments!$B$6:$B$65,BR$4))</f>
        <v/>
      </c>
      <c r="BS5" s="46">
        <f>IF(INDEX(Assignments!$B$6:$B$65,BS$4)="","",INDEX(Assignments!$B$6:$B$65,BS$4))</f>
        <v/>
      </c>
      <c r="BT5" s="46">
        <f>IF(INDEX(Assignments!$B$6:$B$65,BT$4)="","",INDEX(Assignments!$B$6:$B$65,BT$4))</f>
        <v/>
      </c>
    </row>
    <row r="6">
      <c r="L6" s="43" t="inlineStr">
        <is>
          <t>Category &gt;</t>
        </is>
      </c>
      <c r="M6" s="47">
        <f>IF(M$5="","",INDEX(Assignments!$D$6:$D$65,M$4))</f>
        <v/>
      </c>
      <c r="N6" s="47">
        <f>IF(N$5="","",INDEX(Assignments!$D$6:$D$65,N$4))</f>
        <v/>
      </c>
      <c r="O6" s="47">
        <f>IF(O$5="","",INDEX(Assignments!$D$6:$D$65,O$4))</f>
        <v/>
      </c>
      <c r="P6" s="47">
        <f>IF(P$5="","",INDEX(Assignments!$D$6:$D$65,P$4))</f>
        <v/>
      </c>
      <c r="Q6" s="47">
        <f>IF(Q$5="","",INDEX(Assignments!$D$6:$D$65,Q$4))</f>
        <v/>
      </c>
      <c r="R6" s="47">
        <f>IF(R$5="","",INDEX(Assignments!$D$6:$D$65,R$4))</f>
        <v/>
      </c>
      <c r="S6" s="47">
        <f>IF(S$5="","",INDEX(Assignments!$D$6:$D$65,S$4))</f>
        <v/>
      </c>
      <c r="T6" s="47">
        <f>IF(T$5="","",INDEX(Assignments!$D$6:$D$65,T$4))</f>
        <v/>
      </c>
      <c r="U6" s="47">
        <f>IF(U$5="","",INDEX(Assignments!$D$6:$D$65,U$4))</f>
        <v/>
      </c>
      <c r="V6" s="47">
        <f>IF(V$5="","",INDEX(Assignments!$D$6:$D$65,V$4))</f>
        <v/>
      </c>
      <c r="W6" s="47">
        <f>IF(W$5="","",INDEX(Assignments!$D$6:$D$65,W$4))</f>
        <v/>
      </c>
      <c r="X6" s="47">
        <f>IF(X$5="","",INDEX(Assignments!$D$6:$D$65,X$4))</f>
        <v/>
      </c>
      <c r="Y6" s="47">
        <f>IF(Y$5="","",INDEX(Assignments!$D$6:$D$65,Y$4))</f>
        <v/>
      </c>
      <c r="Z6" s="47">
        <f>IF(Z$5="","",INDEX(Assignments!$D$6:$D$65,Z$4))</f>
        <v/>
      </c>
      <c r="AA6" s="47">
        <f>IF(AA$5="","",INDEX(Assignments!$D$6:$D$65,AA$4))</f>
        <v/>
      </c>
      <c r="AB6" s="47">
        <f>IF(AB$5="","",INDEX(Assignments!$D$6:$D$65,AB$4))</f>
        <v/>
      </c>
      <c r="AC6" s="47">
        <f>IF(AC$5="","",INDEX(Assignments!$D$6:$D$65,AC$4))</f>
        <v/>
      </c>
      <c r="AD6" s="47">
        <f>IF(AD$5="","",INDEX(Assignments!$D$6:$D$65,AD$4))</f>
        <v/>
      </c>
      <c r="AE6" s="47">
        <f>IF(AE$5="","",INDEX(Assignments!$D$6:$D$65,AE$4))</f>
        <v/>
      </c>
      <c r="AF6" s="47">
        <f>IF(AF$5="","",INDEX(Assignments!$D$6:$D$65,AF$4))</f>
        <v/>
      </c>
      <c r="AG6" s="47">
        <f>IF(AG$5="","",INDEX(Assignments!$D$6:$D$65,AG$4))</f>
        <v/>
      </c>
      <c r="AH6" s="47">
        <f>IF(AH$5="","",INDEX(Assignments!$D$6:$D$65,AH$4))</f>
        <v/>
      </c>
      <c r="AI6" s="47">
        <f>IF(AI$5="","",INDEX(Assignments!$D$6:$D$65,AI$4))</f>
        <v/>
      </c>
      <c r="AJ6" s="47">
        <f>IF(AJ$5="","",INDEX(Assignments!$D$6:$D$65,AJ$4))</f>
        <v/>
      </c>
      <c r="AK6" s="47">
        <f>IF(AK$5="","",INDEX(Assignments!$D$6:$D$65,AK$4))</f>
        <v/>
      </c>
      <c r="AL6" s="47">
        <f>IF(AL$5="","",INDEX(Assignments!$D$6:$D$65,AL$4))</f>
        <v/>
      </c>
      <c r="AM6" s="47">
        <f>IF(AM$5="","",INDEX(Assignments!$D$6:$D$65,AM$4))</f>
        <v/>
      </c>
      <c r="AN6" s="47">
        <f>IF(AN$5="","",INDEX(Assignments!$D$6:$D$65,AN$4))</f>
        <v/>
      </c>
      <c r="AO6" s="47">
        <f>IF(AO$5="","",INDEX(Assignments!$D$6:$D$65,AO$4))</f>
        <v/>
      </c>
      <c r="AP6" s="47">
        <f>IF(AP$5="","",INDEX(Assignments!$D$6:$D$65,AP$4))</f>
        <v/>
      </c>
      <c r="AQ6" s="47">
        <f>IF(AQ$5="","",INDEX(Assignments!$D$6:$D$65,AQ$4))</f>
        <v/>
      </c>
      <c r="AR6" s="47">
        <f>IF(AR$5="","",INDEX(Assignments!$D$6:$D$65,AR$4))</f>
        <v/>
      </c>
      <c r="AS6" s="47">
        <f>IF(AS$5="","",INDEX(Assignments!$D$6:$D$65,AS$4))</f>
        <v/>
      </c>
      <c r="AT6" s="47">
        <f>IF(AT$5="","",INDEX(Assignments!$D$6:$D$65,AT$4))</f>
        <v/>
      </c>
      <c r="AU6" s="47">
        <f>IF(AU$5="","",INDEX(Assignments!$D$6:$D$65,AU$4))</f>
        <v/>
      </c>
      <c r="AV6" s="47">
        <f>IF(AV$5="","",INDEX(Assignments!$D$6:$D$65,AV$4))</f>
        <v/>
      </c>
      <c r="AW6" s="47">
        <f>IF(AW$5="","",INDEX(Assignments!$D$6:$D$65,AW$4))</f>
        <v/>
      </c>
      <c r="AX6" s="47">
        <f>IF(AX$5="","",INDEX(Assignments!$D$6:$D$65,AX$4))</f>
        <v/>
      </c>
      <c r="AY6" s="47">
        <f>IF(AY$5="","",INDEX(Assignments!$D$6:$D$65,AY$4))</f>
        <v/>
      </c>
      <c r="AZ6" s="47">
        <f>IF(AZ$5="","",INDEX(Assignments!$D$6:$D$65,AZ$4))</f>
        <v/>
      </c>
      <c r="BA6" s="47">
        <f>IF(BA$5="","",INDEX(Assignments!$D$6:$D$65,BA$4))</f>
        <v/>
      </c>
      <c r="BB6" s="47">
        <f>IF(BB$5="","",INDEX(Assignments!$D$6:$D$65,BB$4))</f>
        <v/>
      </c>
      <c r="BC6" s="47">
        <f>IF(BC$5="","",INDEX(Assignments!$D$6:$D$65,BC$4))</f>
        <v/>
      </c>
      <c r="BD6" s="47">
        <f>IF(BD$5="","",INDEX(Assignments!$D$6:$D$65,BD$4))</f>
        <v/>
      </c>
      <c r="BE6" s="47">
        <f>IF(BE$5="","",INDEX(Assignments!$D$6:$D$65,BE$4))</f>
        <v/>
      </c>
      <c r="BF6" s="47">
        <f>IF(BF$5="","",INDEX(Assignments!$D$6:$D$65,BF$4))</f>
        <v/>
      </c>
      <c r="BG6" s="47">
        <f>IF(BG$5="","",INDEX(Assignments!$D$6:$D$65,BG$4))</f>
        <v/>
      </c>
      <c r="BH6" s="47">
        <f>IF(BH$5="","",INDEX(Assignments!$D$6:$D$65,BH$4))</f>
        <v/>
      </c>
      <c r="BI6" s="47">
        <f>IF(BI$5="","",INDEX(Assignments!$D$6:$D$65,BI$4))</f>
        <v/>
      </c>
      <c r="BJ6" s="47">
        <f>IF(BJ$5="","",INDEX(Assignments!$D$6:$D$65,BJ$4))</f>
        <v/>
      </c>
      <c r="BK6" s="47">
        <f>IF(BK$5="","",INDEX(Assignments!$D$6:$D$65,BK$4))</f>
        <v/>
      </c>
      <c r="BL6" s="47">
        <f>IF(BL$5="","",INDEX(Assignments!$D$6:$D$65,BL$4))</f>
        <v/>
      </c>
      <c r="BM6" s="47">
        <f>IF(BM$5="","",INDEX(Assignments!$D$6:$D$65,BM$4))</f>
        <v/>
      </c>
      <c r="BN6" s="47">
        <f>IF(BN$5="","",INDEX(Assignments!$D$6:$D$65,BN$4))</f>
        <v/>
      </c>
      <c r="BO6" s="47">
        <f>IF(BO$5="","",INDEX(Assignments!$D$6:$D$65,BO$4))</f>
        <v/>
      </c>
      <c r="BP6" s="47">
        <f>IF(BP$5="","",INDEX(Assignments!$D$6:$D$65,BP$4))</f>
        <v/>
      </c>
      <c r="BQ6" s="47">
        <f>IF(BQ$5="","",INDEX(Assignments!$D$6:$D$65,BQ$4))</f>
        <v/>
      </c>
      <c r="BR6" s="47">
        <f>IF(BR$5="","",INDEX(Assignments!$D$6:$D$65,BR$4))</f>
        <v/>
      </c>
      <c r="BS6" s="47">
        <f>IF(BS$5="","",INDEX(Assignments!$D$6:$D$65,BS$4))</f>
        <v/>
      </c>
      <c r="BT6" s="47">
        <f>IF(BT$5="","",INDEX(Assignments!$D$6:$D$65,BT$4))</f>
        <v/>
      </c>
    </row>
    <row r="7">
      <c r="L7" s="43" t="inlineStr">
        <is>
          <t>Points &gt;</t>
        </is>
      </c>
      <c r="M7" s="48">
        <f>IF(M$5="",0,N(INDEX(Assignments!$E$6:$E$65,M$4)))</f>
        <v/>
      </c>
      <c r="N7" s="48">
        <f>IF(N$5="",0,N(INDEX(Assignments!$E$6:$E$65,N$4)))</f>
        <v/>
      </c>
      <c r="O7" s="48">
        <f>IF(O$5="",0,N(INDEX(Assignments!$E$6:$E$65,O$4)))</f>
        <v/>
      </c>
      <c r="P7" s="48">
        <f>IF(P$5="",0,N(INDEX(Assignments!$E$6:$E$65,P$4)))</f>
        <v/>
      </c>
      <c r="Q7" s="48">
        <f>IF(Q$5="",0,N(INDEX(Assignments!$E$6:$E$65,Q$4)))</f>
        <v/>
      </c>
      <c r="R7" s="48">
        <f>IF(R$5="",0,N(INDEX(Assignments!$E$6:$E$65,R$4)))</f>
        <v/>
      </c>
      <c r="S7" s="48">
        <f>IF(S$5="",0,N(INDEX(Assignments!$E$6:$E$65,S$4)))</f>
        <v/>
      </c>
      <c r="T7" s="48">
        <f>IF(T$5="",0,N(INDEX(Assignments!$E$6:$E$65,T$4)))</f>
        <v/>
      </c>
      <c r="U7" s="48">
        <f>IF(U$5="",0,N(INDEX(Assignments!$E$6:$E$65,U$4)))</f>
        <v/>
      </c>
      <c r="V7" s="48">
        <f>IF(V$5="",0,N(INDEX(Assignments!$E$6:$E$65,V$4)))</f>
        <v/>
      </c>
      <c r="W7" s="48">
        <f>IF(W$5="",0,N(INDEX(Assignments!$E$6:$E$65,W$4)))</f>
        <v/>
      </c>
      <c r="X7" s="48">
        <f>IF(X$5="",0,N(INDEX(Assignments!$E$6:$E$65,X$4)))</f>
        <v/>
      </c>
      <c r="Y7" s="48">
        <f>IF(Y$5="",0,N(INDEX(Assignments!$E$6:$E$65,Y$4)))</f>
        <v/>
      </c>
      <c r="Z7" s="48">
        <f>IF(Z$5="",0,N(INDEX(Assignments!$E$6:$E$65,Z$4)))</f>
        <v/>
      </c>
      <c r="AA7" s="48">
        <f>IF(AA$5="",0,N(INDEX(Assignments!$E$6:$E$65,AA$4)))</f>
        <v/>
      </c>
      <c r="AB7" s="48">
        <f>IF(AB$5="",0,N(INDEX(Assignments!$E$6:$E$65,AB$4)))</f>
        <v/>
      </c>
      <c r="AC7" s="48">
        <f>IF(AC$5="",0,N(INDEX(Assignments!$E$6:$E$65,AC$4)))</f>
        <v/>
      </c>
      <c r="AD7" s="48">
        <f>IF(AD$5="",0,N(INDEX(Assignments!$E$6:$E$65,AD$4)))</f>
        <v/>
      </c>
      <c r="AE7" s="48">
        <f>IF(AE$5="",0,N(INDEX(Assignments!$E$6:$E$65,AE$4)))</f>
        <v/>
      </c>
      <c r="AF7" s="48">
        <f>IF(AF$5="",0,N(INDEX(Assignments!$E$6:$E$65,AF$4)))</f>
        <v/>
      </c>
      <c r="AG7" s="48">
        <f>IF(AG$5="",0,N(INDEX(Assignments!$E$6:$E$65,AG$4)))</f>
        <v/>
      </c>
      <c r="AH7" s="48">
        <f>IF(AH$5="",0,N(INDEX(Assignments!$E$6:$E$65,AH$4)))</f>
        <v/>
      </c>
      <c r="AI7" s="48">
        <f>IF(AI$5="",0,N(INDEX(Assignments!$E$6:$E$65,AI$4)))</f>
        <v/>
      </c>
      <c r="AJ7" s="48">
        <f>IF(AJ$5="",0,N(INDEX(Assignments!$E$6:$E$65,AJ$4)))</f>
        <v/>
      </c>
      <c r="AK7" s="48">
        <f>IF(AK$5="",0,N(INDEX(Assignments!$E$6:$E$65,AK$4)))</f>
        <v/>
      </c>
      <c r="AL7" s="48">
        <f>IF(AL$5="",0,N(INDEX(Assignments!$E$6:$E$65,AL$4)))</f>
        <v/>
      </c>
      <c r="AM7" s="48">
        <f>IF(AM$5="",0,N(INDEX(Assignments!$E$6:$E$65,AM$4)))</f>
        <v/>
      </c>
      <c r="AN7" s="48">
        <f>IF(AN$5="",0,N(INDEX(Assignments!$E$6:$E$65,AN$4)))</f>
        <v/>
      </c>
      <c r="AO7" s="48">
        <f>IF(AO$5="",0,N(INDEX(Assignments!$E$6:$E$65,AO$4)))</f>
        <v/>
      </c>
      <c r="AP7" s="48">
        <f>IF(AP$5="",0,N(INDEX(Assignments!$E$6:$E$65,AP$4)))</f>
        <v/>
      </c>
      <c r="AQ7" s="48">
        <f>IF(AQ$5="",0,N(INDEX(Assignments!$E$6:$E$65,AQ$4)))</f>
        <v/>
      </c>
      <c r="AR7" s="48">
        <f>IF(AR$5="",0,N(INDEX(Assignments!$E$6:$E$65,AR$4)))</f>
        <v/>
      </c>
      <c r="AS7" s="48">
        <f>IF(AS$5="",0,N(INDEX(Assignments!$E$6:$E$65,AS$4)))</f>
        <v/>
      </c>
      <c r="AT7" s="48">
        <f>IF(AT$5="",0,N(INDEX(Assignments!$E$6:$E$65,AT$4)))</f>
        <v/>
      </c>
      <c r="AU7" s="48">
        <f>IF(AU$5="",0,N(INDEX(Assignments!$E$6:$E$65,AU$4)))</f>
        <v/>
      </c>
      <c r="AV7" s="48">
        <f>IF(AV$5="",0,N(INDEX(Assignments!$E$6:$E$65,AV$4)))</f>
        <v/>
      </c>
      <c r="AW7" s="48">
        <f>IF(AW$5="",0,N(INDEX(Assignments!$E$6:$E$65,AW$4)))</f>
        <v/>
      </c>
      <c r="AX7" s="48">
        <f>IF(AX$5="",0,N(INDEX(Assignments!$E$6:$E$65,AX$4)))</f>
        <v/>
      </c>
      <c r="AY7" s="48">
        <f>IF(AY$5="",0,N(INDEX(Assignments!$E$6:$E$65,AY$4)))</f>
        <v/>
      </c>
      <c r="AZ7" s="48">
        <f>IF(AZ$5="",0,N(INDEX(Assignments!$E$6:$E$65,AZ$4)))</f>
        <v/>
      </c>
      <c r="BA7" s="48">
        <f>IF(BA$5="",0,N(INDEX(Assignments!$E$6:$E$65,BA$4)))</f>
        <v/>
      </c>
      <c r="BB7" s="48">
        <f>IF(BB$5="",0,N(INDEX(Assignments!$E$6:$E$65,BB$4)))</f>
        <v/>
      </c>
      <c r="BC7" s="48">
        <f>IF(BC$5="",0,N(INDEX(Assignments!$E$6:$E$65,BC$4)))</f>
        <v/>
      </c>
      <c r="BD7" s="48">
        <f>IF(BD$5="",0,N(INDEX(Assignments!$E$6:$E$65,BD$4)))</f>
        <v/>
      </c>
      <c r="BE7" s="48">
        <f>IF(BE$5="",0,N(INDEX(Assignments!$E$6:$E$65,BE$4)))</f>
        <v/>
      </c>
      <c r="BF7" s="48">
        <f>IF(BF$5="",0,N(INDEX(Assignments!$E$6:$E$65,BF$4)))</f>
        <v/>
      </c>
      <c r="BG7" s="48">
        <f>IF(BG$5="",0,N(INDEX(Assignments!$E$6:$E$65,BG$4)))</f>
        <v/>
      </c>
      <c r="BH7" s="48">
        <f>IF(BH$5="",0,N(INDEX(Assignments!$E$6:$E$65,BH$4)))</f>
        <v/>
      </c>
      <c r="BI7" s="48">
        <f>IF(BI$5="",0,N(INDEX(Assignments!$E$6:$E$65,BI$4)))</f>
        <v/>
      </c>
      <c r="BJ7" s="48">
        <f>IF(BJ$5="",0,N(INDEX(Assignments!$E$6:$E$65,BJ$4)))</f>
        <v/>
      </c>
      <c r="BK7" s="48">
        <f>IF(BK$5="",0,N(INDEX(Assignments!$E$6:$E$65,BK$4)))</f>
        <v/>
      </c>
      <c r="BL7" s="48">
        <f>IF(BL$5="",0,N(INDEX(Assignments!$E$6:$E$65,BL$4)))</f>
        <v/>
      </c>
      <c r="BM7" s="48">
        <f>IF(BM$5="",0,N(INDEX(Assignments!$E$6:$E$65,BM$4)))</f>
        <v/>
      </c>
      <c r="BN7" s="48">
        <f>IF(BN$5="",0,N(INDEX(Assignments!$E$6:$E$65,BN$4)))</f>
        <v/>
      </c>
      <c r="BO7" s="48">
        <f>IF(BO$5="",0,N(INDEX(Assignments!$E$6:$E$65,BO$4)))</f>
        <v/>
      </c>
      <c r="BP7" s="48">
        <f>IF(BP$5="",0,N(INDEX(Assignments!$E$6:$E$65,BP$4)))</f>
        <v/>
      </c>
      <c r="BQ7" s="48">
        <f>IF(BQ$5="",0,N(INDEX(Assignments!$E$6:$E$65,BQ$4)))</f>
        <v/>
      </c>
      <c r="BR7" s="48">
        <f>IF(BR$5="",0,N(INDEX(Assignments!$E$6:$E$65,BR$4)))</f>
        <v/>
      </c>
      <c r="BS7" s="48">
        <f>IF(BS$5="",0,N(INDEX(Assignments!$E$6:$E$65,BS$4)))</f>
        <v/>
      </c>
      <c r="BT7" s="48">
        <f>IF(BT$5="",0,N(INDEX(Assignments!$E$6:$E$65,BT$4)))</f>
        <v/>
      </c>
    </row>
    <row r="8">
      <c r="L8" s="43" t="inlineStr">
        <is>
          <t>Due &gt;</t>
        </is>
      </c>
      <c r="M8" s="49">
        <f>INDEX(Assignments!$I$6:$I$65,M$4)</f>
        <v/>
      </c>
      <c r="N8" s="49">
        <f>INDEX(Assignments!$I$6:$I$65,N$4)</f>
        <v/>
      </c>
      <c r="O8" s="49">
        <f>INDEX(Assignments!$I$6:$I$65,O$4)</f>
        <v/>
      </c>
      <c r="P8" s="49">
        <f>INDEX(Assignments!$I$6:$I$65,P$4)</f>
        <v/>
      </c>
      <c r="Q8" s="49">
        <f>INDEX(Assignments!$I$6:$I$65,Q$4)</f>
        <v/>
      </c>
      <c r="R8" s="49">
        <f>INDEX(Assignments!$I$6:$I$65,R$4)</f>
        <v/>
      </c>
      <c r="S8" s="49">
        <f>INDEX(Assignments!$I$6:$I$65,S$4)</f>
        <v/>
      </c>
      <c r="T8" s="49">
        <f>INDEX(Assignments!$I$6:$I$65,T$4)</f>
        <v/>
      </c>
      <c r="U8" s="49">
        <f>INDEX(Assignments!$I$6:$I$65,U$4)</f>
        <v/>
      </c>
      <c r="V8" s="49">
        <f>INDEX(Assignments!$I$6:$I$65,V$4)</f>
        <v/>
      </c>
      <c r="W8" s="49">
        <f>INDEX(Assignments!$I$6:$I$65,W$4)</f>
        <v/>
      </c>
      <c r="X8" s="49">
        <f>INDEX(Assignments!$I$6:$I$65,X$4)</f>
        <v/>
      </c>
      <c r="Y8" s="49">
        <f>INDEX(Assignments!$I$6:$I$65,Y$4)</f>
        <v/>
      </c>
      <c r="Z8" s="49">
        <f>INDEX(Assignments!$I$6:$I$65,Z$4)</f>
        <v/>
      </c>
      <c r="AA8" s="49">
        <f>INDEX(Assignments!$I$6:$I$65,AA$4)</f>
        <v/>
      </c>
      <c r="AB8" s="49">
        <f>INDEX(Assignments!$I$6:$I$65,AB$4)</f>
        <v/>
      </c>
      <c r="AC8" s="49">
        <f>INDEX(Assignments!$I$6:$I$65,AC$4)</f>
        <v/>
      </c>
      <c r="AD8" s="49">
        <f>INDEX(Assignments!$I$6:$I$65,AD$4)</f>
        <v/>
      </c>
      <c r="AE8" s="49">
        <f>INDEX(Assignments!$I$6:$I$65,AE$4)</f>
        <v/>
      </c>
      <c r="AF8" s="49">
        <f>INDEX(Assignments!$I$6:$I$65,AF$4)</f>
        <v/>
      </c>
      <c r="AG8" s="49">
        <f>INDEX(Assignments!$I$6:$I$65,AG$4)</f>
        <v/>
      </c>
      <c r="AH8" s="49">
        <f>INDEX(Assignments!$I$6:$I$65,AH$4)</f>
        <v/>
      </c>
      <c r="AI8" s="49">
        <f>INDEX(Assignments!$I$6:$I$65,AI$4)</f>
        <v/>
      </c>
      <c r="AJ8" s="49">
        <f>INDEX(Assignments!$I$6:$I$65,AJ$4)</f>
        <v/>
      </c>
      <c r="AK8" s="49">
        <f>INDEX(Assignments!$I$6:$I$65,AK$4)</f>
        <v/>
      </c>
      <c r="AL8" s="49">
        <f>INDEX(Assignments!$I$6:$I$65,AL$4)</f>
        <v/>
      </c>
      <c r="AM8" s="49">
        <f>INDEX(Assignments!$I$6:$I$65,AM$4)</f>
        <v/>
      </c>
      <c r="AN8" s="49">
        <f>INDEX(Assignments!$I$6:$I$65,AN$4)</f>
        <v/>
      </c>
      <c r="AO8" s="49">
        <f>INDEX(Assignments!$I$6:$I$65,AO$4)</f>
        <v/>
      </c>
      <c r="AP8" s="49">
        <f>INDEX(Assignments!$I$6:$I$65,AP$4)</f>
        <v/>
      </c>
      <c r="AQ8" s="49">
        <f>INDEX(Assignments!$I$6:$I$65,AQ$4)</f>
        <v/>
      </c>
      <c r="AR8" s="49">
        <f>INDEX(Assignments!$I$6:$I$65,AR$4)</f>
        <v/>
      </c>
      <c r="AS8" s="49">
        <f>INDEX(Assignments!$I$6:$I$65,AS$4)</f>
        <v/>
      </c>
      <c r="AT8" s="49">
        <f>INDEX(Assignments!$I$6:$I$65,AT$4)</f>
        <v/>
      </c>
      <c r="AU8" s="49">
        <f>INDEX(Assignments!$I$6:$I$65,AU$4)</f>
        <v/>
      </c>
      <c r="AV8" s="49">
        <f>INDEX(Assignments!$I$6:$I$65,AV$4)</f>
        <v/>
      </c>
      <c r="AW8" s="49">
        <f>INDEX(Assignments!$I$6:$I$65,AW$4)</f>
        <v/>
      </c>
      <c r="AX8" s="49">
        <f>INDEX(Assignments!$I$6:$I$65,AX$4)</f>
        <v/>
      </c>
      <c r="AY8" s="49">
        <f>INDEX(Assignments!$I$6:$I$65,AY$4)</f>
        <v/>
      </c>
      <c r="AZ8" s="49">
        <f>INDEX(Assignments!$I$6:$I$65,AZ$4)</f>
        <v/>
      </c>
      <c r="BA8" s="49">
        <f>INDEX(Assignments!$I$6:$I$65,BA$4)</f>
        <v/>
      </c>
      <c r="BB8" s="49">
        <f>INDEX(Assignments!$I$6:$I$65,BB$4)</f>
        <v/>
      </c>
      <c r="BC8" s="49">
        <f>INDEX(Assignments!$I$6:$I$65,BC$4)</f>
        <v/>
      </c>
      <c r="BD8" s="49">
        <f>INDEX(Assignments!$I$6:$I$65,BD$4)</f>
        <v/>
      </c>
      <c r="BE8" s="49">
        <f>INDEX(Assignments!$I$6:$I$65,BE$4)</f>
        <v/>
      </c>
      <c r="BF8" s="49">
        <f>INDEX(Assignments!$I$6:$I$65,BF$4)</f>
        <v/>
      </c>
      <c r="BG8" s="49">
        <f>INDEX(Assignments!$I$6:$I$65,BG$4)</f>
        <v/>
      </c>
      <c r="BH8" s="49">
        <f>INDEX(Assignments!$I$6:$I$65,BH$4)</f>
        <v/>
      </c>
      <c r="BI8" s="49">
        <f>INDEX(Assignments!$I$6:$I$65,BI$4)</f>
        <v/>
      </c>
      <c r="BJ8" s="49">
        <f>INDEX(Assignments!$I$6:$I$65,BJ$4)</f>
        <v/>
      </c>
      <c r="BK8" s="49">
        <f>INDEX(Assignments!$I$6:$I$65,BK$4)</f>
        <v/>
      </c>
      <c r="BL8" s="49">
        <f>INDEX(Assignments!$I$6:$I$65,BL$4)</f>
        <v/>
      </c>
      <c r="BM8" s="49">
        <f>INDEX(Assignments!$I$6:$I$65,BM$4)</f>
        <v/>
      </c>
      <c r="BN8" s="49">
        <f>INDEX(Assignments!$I$6:$I$65,BN$4)</f>
        <v/>
      </c>
      <c r="BO8" s="49">
        <f>INDEX(Assignments!$I$6:$I$65,BO$4)</f>
        <v/>
      </c>
      <c r="BP8" s="49">
        <f>INDEX(Assignments!$I$6:$I$65,BP$4)</f>
        <v/>
      </c>
      <c r="BQ8" s="49">
        <f>INDEX(Assignments!$I$6:$I$65,BQ$4)</f>
        <v/>
      </c>
      <c r="BR8" s="49">
        <f>INDEX(Assignments!$I$6:$I$65,BR$4)</f>
        <v/>
      </c>
      <c r="BS8" s="49">
        <f>INDEX(Assignments!$I$6:$I$65,BS$4)</f>
        <v/>
      </c>
      <c r="BT8" s="49">
        <f>INDEX(Assignments!$I$6:$I$65,BT$4)</f>
        <v/>
      </c>
    </row>
    <row r="9" ht="30" customHeight="1">
      <c r="A9" s="50" t="inlineStr">
        <is>
          <t>#</t>
        </is>
      </c>
      <c r="B9" s="50" t="inlineStr">
        <is>
          <t>Student</t>
        </is>
      </c>
      <c r="C9" s="50" t="inlineStr">
        <is>
          <t>Overall</t>
        </is>
      </c>
      <c r="D9" s="50" t="inlineStr">
        <is>
          <t>Grade</t>
        </is>
      </c>
      <c r="E9" s="50" t="inlineStr">
        <is>
          <t>Turned in</t>
        </is>
      </c>
      <c r="F9" s="50" t="inlineStr">
        <is>
          <t>Missing</t>
        </is>
      </c>
      <c r="G9" s="50" t="inlineStr">
        <is>
          <t>Score % (turned in)</t>
        </is>
      </c>
      <c r="H9" s="51">
        <f>Setup!A12</f>
        <v/>
      </c>
      <c r="I9" s="51">
        <f>Setup!A13</f>
        <v/>
      </c>
      <c r="J9" s="51">
        <f>Setup!A14</f>
        <v/>
      </c>
      <c r="K9" s="51">
        <f>Setup!A15</f>
        <v/>
      </c>
      <c r="L9" s="51">
        <f>Setup!A16</f>
        <v/>
      </c>
      <c r="M9" s="52" t="inlineStr">
        <is>
          <t>Score</t>
        </is>
      </c>
      <c r="N9" s="52" t="inlineStr">
        <is>
          <t>Score</t>
        </is>
      </c>
      <c r="O9" s="52" t="inlineStr">
        <is>
          <t>Score</t>
        </is>
      </c>
      <c r="P9" s="52" t="inlineStr">
        <is>
          <t>Score</t>
        </is>
      </c>
      <c r="Q9" s="52" t="inlineStr">
        <is>
          <t>Score</t>
        </is>
      </c>
      <c r="R9" s="52" t="inlineStr">
        <is>
          <t>Score</t>
        </is>
      </c>
      <c r="S9" s="52" t="inlineStr">
        <is>
          <t>Score</t>
        </is>
      </c>
      <c r="T9" s="52" t="inlineStr">
        <is>
          <t>Score</t>
        </is>
      </c>
      <c r="U9" s="52" t="inlineStr">
        <is>
          <t>Score</t>
        </is>
      </c>
      <c r="V9" s="52" t="inlineStr">
        <is>
          <t>Score</t>
        </is>
      </c>
      <c r="W9" s="52" t="inlineStr">
        <is>
          <t>Score</t>
        </is>
      </c>
      <c r="X9" s="52" t="inlineStr">
        <is>
          <t>Score</t>
        </is>
      </c>
      <c r="Y9" s="52" t="inlineStr">
        <is>
          <t>Score</t>
        </is>
      </c>
      <c r="Z9" s="52" t="inlineStr">
        <is>
          <t>Score</t>
        </is>
      </c>
      <c r="AA9" s="52" t="inlineStr">
        <is>
          <t>Score</t>
        </is>
      </c>
      <c r="AB9" s="52" t="inlineStr">
        <is>
          <t>Score</t>
        </is>
      </c>
      <c r="AC9" s="52" t="inlineStr">
        <is>
          <t>Score</t>
        </is>
      </c>
      <c r="AD9" s="52" t="inlineStr">
        <is>
          <t>Score</t>
        </is>
      </c>
      <c r="AE9" s="52" t="inlineStr">
        <is>
          <t>Score</t>
        </is>
      </c>
      <c r="AF9" s="52" t="inlineStr">
        <is>
          <t>Score</t>
        </is>
      </c>
      <c r="AG9" s="52" t="inlineStr">
        <is>
          <t>Score</t>
        </is>
      </c>
      <c r="AH9" s="52" t="inlineStr">
        <is>
          <t>Score</t>
        </is>
      </c>
      <c r="AI9" s="52" t="inlineStr">
        <is>
          <t>Score</t>
        </is>
      </c>
      <c r="AJ9" s="52" t="inlineStr">
        <is>
          <t>Score</t>
        </is>
      </c>
      <c r="AK9" s="52" t="inlineStr">
        <is>
          <t>Score</t>
        </is>
      </c>
      <c r="AL9" s="52" t="inlineStr">
        <is>
          <t>Score</t>
        </is>
      </c>
      <c r="AM9" s="52" t="inlineStr">
        <is>
          <t>Score</t>
        </is>
      </c>
      <c r="AN9" s="52" t="inlineStr">
        <is>
          <t>Score</t>
        </is>
      </c>
      <c r="AO9" s="52" t="inlineStr">
        <is>
          <t>Score</t>
        </is>
      </c>
      <c r="AP9" s="52" t="inlineStr">
        <is>
          <t>Score</t>
        </is>
      </c>
      <c r="AQ9" s="52" t="inlineStr">
        <is>
          <t>Score</t>
        </is>
      </c>
      <c r="AR9" s="52" t="inlineStr">
        <is>
          <t>Score</t>
        </is>
      </c>
      <c r="AS9" s="52" t="inlineStr">
        <is>
          <t>Score</t>
        </is>
      </c>
      <c r="AT9" s="52" t="inlineStr">
        <is>
          <t>Score</t>
        </is>
      </c>
      <c r="AU9" s="52" t="inlineStr">
        <is>
          <t>Score</t>
        </is>
      </c>
      <c r="AV9" s="52" t="inlineStr">
        <is>
          <t>Score</t>
        </is>
      </c>
      <c r="AW9" s="52" t="inlineStr">
        <is>
          <t>Score</t>
        </is>
      </c>
      <c r="AX9" s="52" t="inlineStr">
        <is>
          <t>Score</t>
        </is>
      </c>
      <c r="AY9" s="52" t="inlineStr">
        <is>
          <t>Score</t>
        </is>
      </c>
      <c r="AZ9" s="52" t="inlineStr">
        <is>
          <t>Score</t>
        </is>
      </c>
      <c r="BA9" s="52" t="inlineStr">
        <is>
          <t>Score</t>
        </is>
      </c>
      <c r="BB9" s="52" t="inlineStr">
        <is>
          <t>Score</t>
        </is>
      </c>
      <c r="BC9" s="52" t="inlineStr">
        <is>
          <t>Score</t>
        </is>
      </c>
      <c r="BD9" s="52" t="inlineStr">
        <is>
          <t>Score</t>
        </is>
      </c>
      <c r="BE9" s="52" t="inlineStr">
        <is>
          <t>Score</t>
        </is>
      </c>
      <c r="BF9" s="52" t="inlineStr">
        <is>
          <t>Score</t>
        </is>
      </c>
      <c r="BG9" s="52" t="inlineStr">
        <is>
          <t>Score</t>
        </is>
      </c>
      <c r="BH9" s="52" t="inlineStr">
        <is>
          <t>Score</t>
        </is>
      </c>
      <c r="BI9" s="52" t="inlineStr">
        <is>
          <t>Score</t>
        </is>
      </c>
      <c r="BJ9" s="52" t="inlineStr">
        <is>
          <t>Score</t>
        </is>
      </c>
      <c r="BK9" s="52" t="inlineStr">
        <is>
          <t>Score</t>
        </is>
      </c>
      <c r="BL9" s="52" t="inlineStr">
        <is>
          <t>Score</t>
        </is>
      </c>
      <c r="BM9" s="52" t="inlineStr">
        <is>
          <t>Score</t>
        </is>
      </c>
      <c r="BN9" s="52" t="inlineStr">
        <is>
          <t>Score</t>
        </is>
      </c>
      <c r="BO9" s="52" t="inlineStr">
        <is>
          <t>Score</t>
        </is>
      </c>
      <c r="BP9" s="52" t="inlineStr">
        <is>
          <t>Score</t>
        </is>
      </c>
      <c r="BQ9" s="52" t="inlineStr">
        <is>
          <t>Score</t>
        </is>
      </c>
      <c r="BR9" s="52" t="inlineStr">
        <is>
          <t>Score</t>
        </is>
      </c>
      <c r="BS9" s="52" t="inlineStr">
        <is>
          <t>Score</t>
        </is>
      </c>
      <c r="BT9" s="52" t="inlineStr">
        <is>
          <t>Score</t>
        </is>
      </c>
    </row>
    <row r="10">
      <c r="A10" s="17" t="n">
        <v>1</v>
      </c>
      <c r="B10" s="53">
        <f>IF(Roster!B6="","",Roster!B6)</f>
        <v/>
      </c>
      <c r="C10" s="54">
        <f>IF($B10="","",IFERROR(SUMPRODUCT($H$3:$L$3,H10:L10)/SUMPRODUCT($H$3:$L$3,--ISNUMBER(H10:L10)),""))</f>
        <v/>
      </c>
      <c r="D10" s="55">
        <f>IF(C10="","",VLOOKUP(C10,Setup!$D$12:$E$23,2,TRUE))</f>
        <v/>
      </c>
      <c r="E10" s="40">
        <f>IF($B10="","",IFERROR(SUMPRODUCT($M$8:$BT$8*ISNUMBER($M10:$BT10))/SUMPRODUCT($M$8:$BT$8*($M10:$BT10&lt;&gt;"EX")),""))</f>
        <v/>
      </c>
      <c r="F10" s="34">
        <f>IF($B10="","",SUMPRODUCT($M$8:$BT$8*($M10:$BT10=""))+COUNTIF($M10:$BT10,"M"))</f>
        <v/>
      </c>
      <c r="G10" s="40">
        <f>IF($B10="","",IFERROR(SUM($M10:$BT10)/SUMPRODUCT($M$7:$BT$7*ISNUMBER($M10:$BT10)),""))</f>
        <v/>
      </c>
      <c r="H10" s="19">
        <f>IF($B10="","",IFERROR(SUMIFS($M10:$BT10,$M$6:$BT$6,H$9)/SUMPRODUCT(($M$6:$BT$6=H$9)*$M$7:$BT$7*(ISNUMBER($M10:$BT10)+($M10:$BT10="M")+(Setup!$B$9="Yes")*$M$8:$BT$8*($M10:$BT10=""))),""))</f>
        <v/>
      </c>
      <c r="I10" s="19">
        <f>IF($B10="","",IFERROR(SUMIFS($M10:$BT10,$M$6:$BT$6,I$9)/SUMPRODUCT(($M$6:$BT$6=I$9)*$M$7:$BT$7*(ISNUMBER($M10:$BT10)+($M10:$BT10="M")+(Setup!$B$9="Yes")*$M$8:$BT$8*($M10:$BT10=""))),""))</f>
        <v/>
      </c>
      <c r="J10" s="19">
        <f>IF($B10="","",IFERROR(SUMIFS($M10:$BT10,$M$6:$BT$6,J$9)/SUMPRODUCT(($M$6:$BT$6=J$9)*$M$7:$BT$7*(ISNUMBER($M10:$BT10)+($M10:$BT10="M")+(Setup!$B$9="Yes")*$M$8:$BT$8*($M10:$BT10=""))),""))</f>
        <v/>
      </c>
      <c r="K10" s="19">
        <f>IF($B10="","",IFERROR(SUMIFS($M10:$BT10,$M$6:$BT$6,K$9)/SUMPRODUCT(($M$6:$BT$6=K$9)*$M$7:$BT$7*(ISNUMBER($M10:$BT10)+($M10:$BT10="M")+(Setup!$B$9="Yes")*$M$8:$BT$8*($M10:$BT10=""))),""))</f>
        <v/>
      </c>
      <c r="L10" s="19">
        <f>IF($B10="","",IFERROR(SUMIFS($M10:$BT10,$M$6:$BT$6,L$9)/SUMPRODUCT(($M$6:$BT$6=L$9)*$M$7:$BT$7*(ISNUMBER($M10:$BT10)+($M10:$BT10="M")+(Setup!$B$9="Yes")*$M$8:$BT$8*($M10:$BT10=""))),""))</f>
        <v/>
      </c>
      <c r="M10" s="56" t="n">
        <v>8.5</v>
      </c>
      <c r="N10" s="56" t="n">
        <v>7.7</v>
      </c>
      <c r="O10" s="56" t="n">
        <v>23</v>
      </c>
      <c r="P10" s="56" t="inlineStr">
        <is>
          <t>EX</t>
        </is>
      </c>
      <c r="Q10" s="56" t="n">
        <v>81</v>
      </c>
      <c r="R10" s="56" t="n">
        <v>8.4</v>
      </c>
      <c r="S10" s="56" t="n">
        <v>7.8</v>
      </c>
      <c r="T10" s="56" t="inlineStr">
        <is>
          <t>M</t>
        </is>
      </c>
      <c r="U10" s="56" t="n">
        <v>7</v>
      </c>
      <c r="V10" s="56" t="n">
        <v>75</v>
      </c>
      <c r="W10" s="56" t="n">
        <v>8.300000000000001</v>
      </c>
      <c r="X10" s="56" t="n">
        <v>8.4</v>
      </c>
      <c r="Y10" s="56" t="n">
        <v>18</v>
      </c>
      <c r="Z10" s="56" t="n"/>
      <c r="AA10" s="56" t="n"/>
      <c r="AB10" s="56" t="n"/>
      <c r="AC10" s="56" t="n"/>
      <c r="AD10" s="56" t="n"/>
      <c r="AE10" s="56" t="n"/>
      <c r="AF10" s="56" t="n"/>
      <c r="AG10" s="56" t="n"/>
      <c r="AH10" s="56" t="n"/>
      <c r="AI10" s="56" t="n"/>
      <c r="AJ10" s="56" t="n"/>
      <c r="AK10" s="56" t="n"/>
      <c r="AL10" s="56" t="n"/>
      <c r="AM10" s="56" t="n"/>
      <c r="AN10" s="56" t="n"/>
      <c r="AO10" s="56" t="n"/>
      <c r="AP10" s="56" t="n"/>
      <c r="AQ10" s="56" t="n"/>
      <c r="AR10" s="56" t="n"/>
      <c r="AS10" s="56" t="n"/>
      <c r="AT10" s="56" t="n"/>
      <c r="AU10" s="56" t="n"/>
      <c r="AV10" s="56" t="n"/>
      <c r="AW10" s="56" t="n"/>
      <c r="AX10" s="56" t="n"/>
      <c r="AY10" s="56" t="n"/>
      <c r="AZ10" s="56" t="n"/>
      <c r="BA10" s="56" t="n"/>
      <c r="BB10" s="56" t="n"/>
      <c r="BC10" s="56" t="n"/>
      <c r="BD10" s="56" t="n"/>
      <c r="BE10" s="56" t="n"/>
      <c r="BF10" s="56" t="n"/>
      <c r="BG10" s="56" t="n"/>
      <c r="BH10" s="56" t="n"/>
      <c r="BI10" s="56" t="n"/>
      <c r="BJ10" s="56" t="n"/>
      <c r="BK10" s="56" t="n"/>
      <c r="BL10" s="56" t="n"/>
      <c r="BM10" s="56" t="n"/>
      <c r="BN10" s="56" t="n"/>
      <c r="BO10" s="56" t="n"/>
      <c r="BP10" s="56" t="n"/>
      <c r="BQ10" s="56" t="n"/>
      <c r="BR10" s="56" t="n"/>
      <c r="BS10" s="56" t="n"/>
      <c r="BT10" s="56" t="n"/>
    </row>
    <row r="11">
      <c r="A11" s="17" t="n">
        <v>2</v>
      </c>
      <c r="B11" s="53">
        <f>IF(Roster!B7="","",Roster!B7)</f>
        <v/>
      </c>
      <c r="C11" s="54">
        <f>IF($B11="","",IFERROR(SUMPRODUCT($H$3:$L$3,H11:L11)/SUMPRODUCT($H$3:$L$3,--ISNUMBER(H11:L11)),""))</f>
        <v/>
      </c>
      <c r="D11" s="55">
        <f>IF(C11="","",VLOOKUP(C11,Setup!$D$12:$E$23,2,TRUE))</f>
        <v/>
      </c>
      <c r="E11" s="40">
        <f>IF($B11="","",IFERROR(SUMPRODUCT($M$8:$BT$8*ISNUMBER($M11:$BT11))/SUMPRODUCT($M$8:$BT$8*($M11:$BT11&lt;&gt;"EX")),""))</f>
        <v/>
      </c>
      <c r="F11" s="34">
        <f>IF($B11="","",SUMPRODUCT($M$8:$BT$8*($M11:$BT11=""))+COUNTIF($M11:$BT11,"M"))</f>
        <v/>
      </c>
      <c r="G11" s="40">
        <f>IF($B11="","",IFERROR(SUM($M11:$BT11)/SUMPRODUCT($M$7:$BT$7*ISNUMBER($M11:$BT11)),""))</f>
        <v/>
      </c>
      <c r="H11" s="19">
        <f>IF($B11="","",IFERROR(SUMIFS($M11:$BT11,$M$6:$BT$6,H$9)/SUMPRODUCT(($M$6:$BT$6=H$9)*$M$7:$BT$7*(ISNUMBER($M11:$BT11)+($M11:$BT11="M")+(Setup!$B$9="Yes")*$M$8:$BT$8*($M11:$BT11=""))),""))</f>
        <v/>
      </c>
      <c r="I11" s="19">
        <f>IF($B11="","",IFERROR(SUMIFS($M11:$BT11,$M$6:$BT$6,I$9)/SUMPRODUCT(($M$6:$BT$6=I$9)*$M$7:$BT$7*(ISNUMBER($M11:$BT11)+($M11:$BT11="M")+(Setup!$B$9="Yes")*$M$8:$BT$8*($M11:$BT11=""))),""))</f>
        <v/>
      </c>
      <c r="J11" s="19">
        <f>IF($B11="","",IFERROR(SUMIFS($M11:$BT11,$M$6:$BT$6,J$9)/SUMPRODUCT(($M$6:$BT$6=J$9)*$M$7:$BT$7*(ISNUMBER($M11:$BT11)+($M11:$BT11="M")+(Setup!$B$9="Yes")*$M$8:$BT$8*($M11:$BT11=""))),""))</f>
        <v/>
      </c>
      <c r="K11" s="19">
        <f>IF($B11="","",IFERROR(SUMIFS($M11:$BT11,$M$6:$BT$6,K$9)/SUMPRODUCT(($M$6:$BT$6=K$9)*$M$7:$BT$7*(ISNUMBER($M11:$BT11)+($M11:$BT11="M")+(Setup!$B$9="Yes")*$M$8:$BT$8*($M11:$BT11=""))),""))</f>
        <v/>
      </c>
      <c r="L11" s="19">
        <f>IF($B11="","",IFERROR(SUMIFS($M11:$BT11,$M$6:$BT$6,L$9)/SUMPRODUCT(($M$6:$BT$6=L$9)*$M$7:$BT$7*(ISNUMBER($M11:$BT11)+($M11:$BT11="M")+(Setup!$B$9="Yes")*$M$8:$BT$8*($M11:$BT11=""))),""))</f>
        <v/>
      </c>
      <c r="M11" s="56" t="n">
        <v>6.9</v>
      </c>
      <c r="N11" s="56" t="n">
        <v>8.199999999999999</v>
      </c>
      <c r="O11" s="56" t="n">
        <v>19</v>
      </c>
      <c r="P11" s="56" t="n">
        <v>7</v>
      </c>
      <c r="Q11" s="56" t="n">
        <v>81</v>
      </c>
      <c r="R11" s="56" t="n">
        <v>8.699999999999999</v>
      </c>
      <c r="S11" s="56" t="n">
        <v>8</v>
      </c>
      <c r="T11" s="56" t="n">
        <v>18</v>
      </c>
      <c r="U11" s="56" t="n">
        <v>8.1</v>
      </c>
      <c r="V11" s="56" t="inlineStr">
        <is>
          <t>EX</t>
        </is>
      </c>
      <c r="W11" s="56" t="n">
        <v>7</v>
      </c>
      <c r="X11" s="56" t="n"/>
      <c r="Y11" s="56" t="n">
        <v>18</v>
      </c>
      <c r="Z11" s="56" t="n"/>
      <c r="AA11" s="56" t="n"/>
      <c r="AB11" s="56" t="n"/>
      <c r="AC11" s="56" t="n"/>
      <c r="AD11" s="56" t="n"/>
      <c r="AE11" s="56" t="n"/>
      <c r="AF11" s="56" t="n"/>
      <c r="AG11" s="56" t="n"/>
      <c r="AH11" s="56" t="n"/>
      <c r="AI11" s="56" t="n"/>
      <c r="AJ11" s="56" t="n"/>
      <c r="AK11" s="56" t="n"/>
      <c r="AL11" s="56" t="n"/>
      <c r="AM11" s="56" t="n"/>
      <c r="AN11" s="56" t="n"/>
      <c r="AO11" s="56" t="n"/>
      <c r="AP11" s="56" t="n"/>
      <c r="AQ11" s="56" t="n"/>
      <c r="AR11" s="56" t="n"/>
      <c r="AS11" s="56" t="n"/>
      <c r="AT11" s="56" t="n"/>
      <c r="AU11" s="56" t="n"/>
      <c r="AV11" s="56" t="n"/>
      <c r="AW11" s="56" t="n"/>
      <c r="AX11" s="56" t="n"/>
      <c r="AY11" s="56" t="n"/>
      <c r="AZ11" s="56" t="n"/>
      <c r="BA11" s="56" t="n"/>
      <c r="BB11" s="56" t="n"/>
      <c r="BC11" s="56" t="n"/>
      <c r="BD11" s="56" t="n"/>
      <c r="BE11" s="56" t="n"/>
      <c r="BF11" s="56" t="n"/>
      <c r="BG11" s="56" t="n"/>
      <c r="BH11" s="56" t="n"/>
      <c r="BI11" s="56" t="n"/>
      <c r="BJ11" s="56" t="n"/>
      <c r="BK11" s="56" t="n"/>
      <c r="BL11" s="56" t="n"/>
      <c r="BM11" s="56" t="n"/>
      <c r="BN11" s="56" t="n"/>
      <c r="BO11" s="56" t="n"/>
      <c r="BP11" s="56" t="n"/>
      <c r="BQ11" s="56" t="n"/>
      <c r="BR11" s="56" t="n"/>
      <c r="BS11" s="56" t="n"/>
      <c r="BT11" s="56" t="n"/>
    </row>
    <row r="12">
      <c r="A12" s="17" t="n">
        <v>3</v>
      </c>
      <c r="B12" s="53">
        <f>IF(Roster!B8="","",Roster!B8)</f>
        <v/>
      </c>
      <c r="C12" s="54">
        <f>IF($B12="","",IFERROR(SUMPRODUCT($H$3:$L$3,H12:L12)/SUMPRODUCT($H$3:$L$3,--ISNUMBER(H12:L12)),""))</f>
        <v/>
      </c>
      <c r="D12" s="55">
        <f>IF(C12="","",VLOOKUP(C12,Setup!$D$12:$E$23,2,TRUE))</f>
        <v/>
      </c>
      <c r="E12" s="40">
        <f>IF($B12="","",IFERROR(SUMPRODUCT($M$8:$BT$8*ISNUMBER($M12:$BT12))/SUMPRODUCT($M$8:$BT$8*($M12:$BT12&lt;&gt;"EX")),""))</f>
        <v/>
      </c>
      <c r="F12" s="34">
        <f>IF($B12="","",SUMPRODUCT($M$8:$BT$8*($M12:$BT12=""))+COUNTIF($M12:$BT12,"M"))</f>
        <v/>
      </c>
      <c r="G12" s="40">
        <f>IF($B12="","",IFERROR(SUM($M12:$BT12)/SUMPRODUCT($M$7:$BT$7*ISNUMBER($M12:$BT12)),""))</f>
        <v/>
      </c>
      <c r="H12" s="19">
        <f>IF($B12="","",IFERROR(SUMIFS($M12:$BT12,$M$6:$BT$6,H$9)/SUMPRODUCT(($M$6:$BT$6=H$9)*$M$7:$BT$7*(ISNUMBER($M12:$BT12)+($M12:$BT12="M")+(Setup!$B$9="Yes")*$M$8:$BT$8*($M12:$BT12=""))),""))</f>
        <v/>
      </c>
      <c r="I12" s="19">
        <f>IF($B12="","",IFERROR(SUMIFS($M12:$BT12,$M$6:$BT$6,I$9)/SUMPRODUCT(($M$6:$BT$6=I$9)*$M$7:$BT$7*(ISNUMBER($M12:$BT12)+($M12:$BT12="M")+(Setup!$B$9="Yes")*$M$8:$BT$8*($M12:$BT12=""))),""))</f>
        <v/>
      </c>
      <c r="J12" s="19">
        <f>IF($B12="","",IFERROR(SUMIFS($M12:$BT12,$M$6:$BT$6,J$9)/SUMPRODUCT(($M$6:$BT$6=J$9)*$M$7:$BT$7*(ISNUMBER($M12:$BT12)+($M12:$BT12="M")+(Setup!$B$9="Yes")*$M$8:$BT$8*($M12:$BT12=""))),""))</f>
        <v/>
      </c>
      <c r="K12" s="19">
        <f>IF($B12="","",IFERROR(SUMIFS($M12:$BT12,$M$6:$BT$6,K$9)/SUMPRODUCT(($M$6:$BT$6=K$9)*$M$7:$BT$7*(ISNUMBER($M12:$BT12)+($M12:$BT12="M")+(Setup!$B$9="Yes")*$M$8:$BT$8*($M12:$BT12=""))),""))</f>
        <v/>
      </c>
      <c r="L12" s="19">
        <f>IF($B12="","",IFERROR(SUMIFS($M12:$BT12,$M$6:$BT$6,L$9)/SUMPRODUCT(($M$6:$BT$6=L$9)*$M$7:$BT$7*(ISNUMBER($M12:$BT12)+($M12:$BT12="M")+(Setup!$B$9="Yes")*$M$8:$BT$8*($M12:$BT12=""))),""))</f>
        <v/>
      </c>
      <c r="M12" s="56" t="inlineStr">
        <is>
          <t>M</t>
        </is>
      </c>
      <c r="N12" s="56" t="n">
        <v>8.1</v>
      </c>
      <c r="O12" s="56" t="n">
        <v>19</v>
      </c>
      <c r="P12" s="56" t="n">
        <v>7.6</v>
      </c>
      <c r="Q12" s="56" t="n">
        <v>71</v>
      </c>
      <c r="R12" s="56" t="n">
        <v>7.4</v>
      </c>
      <c r="S12" s="56" t="n">
        <v>7</v>
      </c>
      <c r="T12" s="56" t="n">
        <v>16</v>
      </c>
      <c r="U12" s="56" t="n">
        <v>7.3</v>
      </c>
      <c r="V12" s="56" t="n">
        <v>78</v>
      </c>
      <c r="W12" s="56" t="n">
        <v>7.3</v>
      </c>
      <c r="X12" s="56" t="n">
        <v>7.8</v>
      </c>
      <c r="Y12" s="56" t="inlineStr">
        <is>
          <t>EX</t>
        </is>
      </c>
      <c r="Z12" s="56" t="n"/>
      <c r="AA12" s="56" t="n"/>
      <c r="AB12" s="56" t="n"/>
      <c r="AC12" s="56" t="n"/>
      <c r="AD12" s="56" t="n"/>
      <c r="AE12" s="56" t="n"/>
      <c r="AF12" s="56" t="n"/>
      <c r="AG12" s="56" t="n"/>
      <c r="AH12" s="56" t="n"/>
      <c r="AI12" s="56" t="n"/>
      <c r="AJ12" s="56" t="n"/>
      <c r="AK12" s="56" t="n"/>
      <c r="AL12" s="56" t="n"/>
      <c r="AM12" s="56" t="n"/>
      <c r="AN12" s="56" t="n"/>
      <c r="AO12" s="56" t="n"/>
      <c r="AP12" s="56" t="n"/>
      <c r="AQ12" s="56" t="n"/>
      <c r="AR12" s="56" t="n"/>
      <c r="AS12" s="56" t="n"/>
      <c r="AT12" s="56" t="n"/>
      <c r="AU12" s="56" t="n"/>
      <c r="AV12" s="56" t="n"/>
      <c r="AW12" s="56" t="n"/>
      <c r="AX12" s="56" t="n"/>
      <c r="AY12" s="56" t="n"/>
      <c r="AZ12" s="56" t="n"/>
      <c r="BA12" s="56" t="n"/>
      <c r="BB12" s="56" t="n"/>
      <c r="BC12" s="56" t="n"/>
      <c r="BD12" s="56" t="n"/>
      <c r="BE12" s="56" t="n"/>
      <c r="BF12" s="56" t="n"/>
      <c r="BG12" s="56" t="n"/>
      <c r="BH12" s="56" t="n"/>
      <c r="BI12" s="56" t="n"/>
      <c r="BJ12" s="56" t="n"/>
      <c r="BK12" s="56" t="n"/>
      <c r="BL12" s="56" t="n"/>
      <c r="BM12" s="56" t="n"/>
      <c r="BN12" s="56" t="n"/>
      <c r="BO12" s="56" t="n"/>
      <c r="BP12" s="56" t="n"/>
      <c r="BQ12" s="56" t="n"/>
      <c r="BR12" s="56" t="n"/>
      <c r="BS12" s="56" t="n"/>
      <c r="BT12" s="56" t="n"/>
    </row>
    <row r="13">
      <c r="A13" s="17" t="n">
        <v>4</v>
      </c>
      <c r="B13" s="53">
        <f>IF(Roster!B9="","",Roster!B9)</f>
        <v/>
      </c>
      <c r="C13" s="54">
        <f>IF($B13="","",IFERROR(SUMPRODUCT($H$3:$L$3,H13:L13)/SUMPRODUCT($H$3:$L$3,--ISNUMBER(H13:L13)),""))</f>
        <v/>
      </c>
      <c r="D13" s="55">
        <f>IF(C13="","",VLOOKUP(C13,Setup!$D$12:$E$23,2,TRUE))</f>
        <v/>
      </c>
      <c r="E13" s="40">
        <f>IF($B13="","",IFERROR(SUMPRODUCT($M$8:$BT$8*ISNUMBER($M13:$BT13))/SUMPRODUCT($M$8:$BT$8*($M13:$BT13&lt;&gt;"EX")),""))</f>
        <v/>
      </c>
      <c r="F13" s="34">
        <f>IF($B13="","",SUMPRODUCT($M$8:$BT$8*($M13:$BT13=""))+COUNTIF($M13:$BT13,"M"))</f>
        <v/>
      </c>
      <c r="G13" s="40">
        <f>IF($B13="","",IFERROR(SUM($M13:$BT13)/SUMPRODUCT($M$7:$BT$7*ISNUMBER($M13:$BT13)),""))</f>
        <v/>
      </c>
      <c r="H13" s="19">
        <f>IF($B13="","",IFERROR(SUMIFS($M13:$BT13,$M$6:$BT$6,H$9)/SUMPRODUCT(($M$6:$BT$6=H$9)*$M$7:$BT$7*(ISNUMBER($M13:$BT13)+($M13:$BT13="M")+(Setup!$B$9="Yes")*$M$8:$BT$8*($M13:$BT13=""))),""))</f>
        <v/>
      </c>
      <c r="I13" s="19">
        <f>IF($B13="","",IFERROR(SUMIFS($M13:$BT13,$M$6:$BT$6,I$9)/SUMPRODUCT(($M$6:$BT$6=I$9)*$M$7:$BT$7*(ISNUMBER($M13:$BT13)+($M13:$BT13="M")+(Setup!$B$9="Yes")*$M$8:$BT$8*($M13:$BT13=""))),""))</f>
        <v/>
      </c>
      <c r="J13" s="19">
        <f>IF($B13="","",IFERROR(SUMIFS($M13:$BT13,$M$6:$BT$6,J$9)/SUMPRODUCT(($M$6:$BT$6=J$9)*$M$7:$BT$7*(ISNUMBER($M13:$BT13)+($M13:$BT13="M")+(Setup!$B$9="Yes")*$M$8:$BT$8*($M13:$BT13=""))),""))</f>
        <v/>
      </c>
      <c r="K13" s="19">
        <f>IF($B13="","",IFERROR(SUMIFS($M13:$BT13,$M$6:$BT$6,K$9)/SUMPRODUCT(($M$6:$BT$6=K$9)*$M$7:$BT$7*(ISNUMBER($M13:$BT13)+($M13:$BT13="M")+(Setup!$B$9="Yes")*$M$8:$BT$8*($M13:$BT13=""))),""))</f>
        <v/>
      </c>
      <c r="L13" s="19">
        <f>IF($B13="","",IFERROR(SUMIFS($M13:$BT13,$M$6:$BT$6,L$9)/SUMPRODUCT(($M$6:$BT$6=L$9)*$M$7:$BT$7*(ISNUMBER($M13:$BT13)+($M13:$BT13="M")+(Setup!$B$9="Yes")*$M$8:$BT$8*($M13:$BT13=""))),""))</f>
        <v/>
      </c>
      <c r="M13" s="56" t="n">
        <v>8.5</v>
      </c>
      <c r="N13" s="56" t="n">
        <v>7</v>
      </c>
      <c r="O13" s="56" t="n">
        <v>19</v>
      </c>
      <c r="P13" s="56" t="n">
        <v>7.8</v>
      </c>
      <c r="Q13" s="56" t="inlineStr">
        <is>
          <t>EX</t>
        </is>
      </c>
      <c r="R13" s="56" t="n">
        <v>7.9</v>
      </c>
      <c r="S13" s="56" t="n">
        <v>7.9</v>
      </c>
      <c r="T13" s="56" t="inlineStr">
        <is>
          <t>M</t>
        </is>
      </c>
      <c r="U13" s="56" t="n">
        <v>8.800000000000001</v>
      </c>
      <c r="V13" s="56" t="n">
        <v>77</v>
      </c>
      <c r="W13" s="56" t="n">
        <v>7.8</v>
      </c>
      <c r="X13" s="56" t="n">
        <v>7.6</v>
      </c>
      <c r="Y13" s="56" t="n">
        <v>22</v>
      </c>
      <c r="Z13" s="56" t="n"/>
      <c r="AA13" s="56" t="n"/>
      <c r="AB13" s="56" t="n"/>
      <c r="AC13" s="56" t="n"/>
      <c r="AD13" s="56" t="n"/>
      <c r="AE13" s="56" t="n"/>
      <c r="AF13" s="56" t="n"/>
      <c r="AG13" s="56" t="n"/>
      <c r="AH13" s="56" t="n"/>
      <c r="AI13" s="56" t="n"/>
      <c r="AJ13" s="56" t="n"/>
      <c r="AK13" s="56" t="n"/>
      <c r="AL13" s="56" t="n"/>
      <c r="AM13" s="56" t="n"/>
      <c r="AN13" s="56" t="n"/>
      <c r="AO13" s="56" t="n"/>
      <c r="AP13" s="56" t="n"/>
      <c r="AQ13" s="56" t="n"/>
      <c r="AR13" s="56" t="n"/>
      <c r="AS13" s="56" t="n"/>
      <c r="AT13" s="56" t="n"/>
      <c r="AU13" s="56" t="n"/>
      <c r="AV13" s="56" t="n"/>
      <c r="AW13" s="56" t="n"/>
      <c r="AX13" s="56" t="n"/>
      <c r="AY13" s="56" t="n"/>
      <c r="AZ13" s="56" t="n"/>
      <c r="BA13" s="56" t="n"/>
      <c r="BB13" s="56" t="n"/>
      <c r="BC13" s="56" t="n"/>
      <c r="BD13" s="56" t="n"/>
      <c r="BE13" s="56" t="n"/>
      <c r="BF13" s="56" t="n"/>
      <c r="BG13" s="56" t="n"/>
      <c r="BH13" s="56" t="n"/>
      <c r="BI13" s="56" t="n"/>
      <c r="BJ13" s="56" t="n"/>
      <c r="BK13" s="56" t="n"/>
      <c r="BL13" s="56" t="n"/>
      <c r="BM13" s="56" t="n"/>
      <c r="BN13" s="56" t="n"/>
      <c r="BO13" s="56" t="n"/>
      <c r="BP13" s="56" t="n"/>
      <c r="BQ13" s="56" t="n"/>
      <c r="BR13" s="56" t="n"/>
      <c r="BS13" s="56" t="n"/>
      <c r="BT13" s="56" t="n"/>
    </row>
    <row r="14">
      <c r="A14" s="17" t="n">
        <v>5</v>
      </c>
      <c r="B14" s="53">
        <f>IF(Roster!B10="","",Roster!B10)</f>
        <v/>
      </c>
      <c r="C14" s="54">
        <f>IF($B14="","",IFERROR(SUMPRODUCT($H$3:$L$3,H14:L14)/SUMPRODUCT($H$3:$L$3,--ISNUMBER(H14:L14)),""))</f>
        <v/>
      </c>
      <c r="D14" s="55">
        <f>IF(C14="","",VLOOKUP(C14,Setup!$D$12:$E$23,2,TRUE))</f>
        <v/>
      </c>
      <c r="E14" s="40">
        <f>IF($B14="","",IFERROR(SUMPRODUCT($M$8:$BT$8*ISNUMBER($M14:$BT14))/SUMPRODUCT($M$8:$BT$8*($M14:$BT14&lt;&gt;"EX")),""))</f>
        <v/>
      </c>
      <c r="F14" s="34">
        <f>IF($B14="","",SUMPRODUCT($M$8:$BT$8*($M14:$BT14=""))+COUNTIF($M14:$BT14,"M"))</f>
        <v/>
      </c>
      <c r="G14" s="40">
        <f>IF($B14="","",IFERROR(SUM($M14:$BT14)/SUMPRODUCT($M$7:$BT$7*ISNUMBER($M14:$BT14)),""))</f>
        <v/>
      </c>
      <c r="H14" s="19">
        <f>IF($B14="","",IFERROR(SUMIFS($M14:$BT14,$M$6:$BT$6,H$9)/SUMPRODUCT(($M$6:$BT$6=H$9)*$M$7:$BT$7*(ISNUMBER($M14:$BT14)+($M14:$BT14="M")+(Setup!$B$9="Yes")*$M$8:$BT$8*($M14:$BT14=""))),""))</f>
        <v/>
      </c>
      <c r="I14" s="19">
        <f>IF($B14="","",IFERROR(SUMIFS($M14:$BT14,$M$6:$BT$6,I$9)/SUMPRODUCT(($M$6:$BT$6=I$9)*$M$7:$BT$7*(ISNUMBER($M14:$BT14)+($M14:$BT14="M")+(Setup!$B$9="Yes")*$M$8:$BT$8*($M14:$BT14=""))),""))</f>
        <v/>
      </c>
      <c r="J14" s="19">
        <f>IF($B14="","",IFERROR(SUMIFS($M14:$BT14,$M$6:$BT$6,J$9)/SUMPRODUCT(($M$6:$BT$6=J$9)*$M$7:$BT$7*(ISNUMBER($M14:$BT14)+($M14:$BT14="M")+(Setup!$B$9="Yes")*$M$8:$BT$8*($M14:$BT14=""))),""))</f>
        <v/>
      </c>
      <c r="K14" s="19">
        <f>IF($B14="","",IFERROR(SUMIFS($M14:$BT14,$M$6:$BT$6,K$9)/SUMPRODUCT(($M$6:$BT$6=K$9)*$M$7:$BT$7*(ISNUMBER($M14:$BT14)+($M14:$BT14="M")+(Setup!$B$9="Yes")*$M$8:$BT$8*($M14:$BT14=""))),""))</f>
        <v/>
      </c>
      <c r="L14" s="19">
        <f>IF($B14="","",IFERROR(SUMIFS($M14:$BT14,$M$6:$BT$6,L$9)/SUMPRODUCT(($M$6:$BT$6=L$9)*$M$7:$BT$7*(ISNUMBER($M14:$BT14)+($M14:$BT14="M")+(Setup!$B$9="Yes")*$M$8:$BT$8*($M14:$BT14=""))),""))</f>
        <v/>
      </c>
      <c r="M14" s="56" t="n">
        <v>9.6</v>
      </c>
      <c r="N14" s="56" t="n">
        <v>9.9</v>
      </c>
      <c r="O14" s="56" t="n">
        <v>21</v>
      </c>
      <c r="P14" s="56" t="n">
        <v>10</v>
      </c>
      <c r="Q14" s="56" t="n">
        <v>97</v>
      </c>
      <c r="R14" s="56" t="n">
        <v>9.1</v>
      </c>
      <c r="S14" s="56" t="n">
        <v>9.6</v>
      </c>
      <c r="T14" s="56" t="n">
        <v>24</v>
      </c>
      <c r="U14" s="56" t="n">
        <v>9.199999999999999</v>
      </c>
      <c r="V14" s="56" t="n">
        <v>100</v>
      </c>
      <c r="W14" s="56" t="n">
        <v>9</v>
      </c>
      <c r="X14" s="56" t="n">
        <v>9.300000000000001</v>
      </c>
      <c r="Y14" s="56" t="n">
        <v>25</v>
      </c>
      <c r="Z14" s="56" t="n"/>
      <c r="AA14" s="56" t="n"/>
      <c r="AB14" s="56" t="n"/>
      <c r="AC14" s="56" t="n"/>
      <c r="AD14" s="56" t="n"/>
      <c r="AE14" s="56" t="n"/>
      <c r="AF14" s="56" t="n"/>
      <c r="AG14" s="56" t="n"/>
      <c r="AH14" s="56" t="n"/>
      <c r="AI14" s="56" t="n"/>
      <c r="AJ14" s="56" t="n"/>
      <c r="AK14" s="56" t="n"/>
      <c r="AL14" s="56" t="n"/>
      <c r="AM14" s="56" t="n"/>
      <c r="AN14" s="56" t="n"/>
      <c r="AO14" s="56" t="n"/>
      <c r="AP14" s="56" t="n"/>
      <c r="AQ14" s="56" t="n"/>
      <c r="AR14" s="56" t="n"/>
      <c r="AS14" s="56" t="n"/>
      <c r="AT14" s="56" t="n"/>
      <c r="AU14" s="56" t="n"/>
      <c r="AV14" s="56" t="n"/>
      <c r="AW14" s="56" t="n"/>
      <c r="AX14" s="56" t="n"/>
      <c r="AY14" s="56" t="n"/>
      <c r="AZ14" s="56" t="n"/>
      <c r="BA14" s="56" t="n"/>
      <c r="BB14" s="56" t="n"/>
      <c r="BC14" s="56" t="n"/>
      <c r="BD14" s="56" t="n"/>
      <c r="BE14" s="56" t="n"/>
      <c r="BF14" s="56" t="n"/>
      <c r="BG14" s="56" t="n"/>
      <c r="BH14" s="56" t="n"/>
      <c r="BI14" s="56" t="n"/>
      <c r="BJ14" s="56" t="n"/>
      <c r="BK14" s="56" t="n"/>
      <c r="BL14" s="56" t="n"/>
      <c r="BM14" s="56" t="n"/>
      <c r="BN14" s="56" t="n"/>
      <c r="BO14" s="56" t="n"/>
      <c r="BP14" s="56" t="n"/>
      <c r="BQ14" s="56" t="n"/>
      <c r="BR14" s="56" t="n"/>
      <c r="BS14" s="56" t="n"/>
      <c r="BT14" s="56" t="n"/>
    </row>
    <row r="15">
      <c r="A15" s="17" t="n">
        <v>6</v>
      </c>
      <c r="B15" s="53">
        <f>IF(Roster!B11="","",Roster!B11)</f>
        <v/>
      </c>
      <c r="C15" s="54">
        <f>IF($B15="","",IFERROR(SUMPRODUCT($H$3:$L$3,H15:L15)/SUMPRODUCT($H$3:$L$3,--ISNUMBER(H15:L15)),""))</f>
        <v/>
      </c>
      <c r="D15" s="55">
        <f>IF(C15="","",VLOOKUP(C15,Setup!$D$12:$E$23,2,TRUE))</f>
        <v/>
      </c>
      <c r="E15" s="40">
        <f>IF($B15="","",IFERROR(SUMPRODUCT($M$8:$BT$8*ISNUMBER($M15:$BT15))/SUMPRODUCT($M$8:$BT$8*($M15:$BT15&lt;&gt;"EX")),""))</f>
        <v/>
      </c>
      <c r="F15" s="34">
        <f>IF($B15="","",SUMPRODUCT($M$8:$BT$8*($M15:$BT15=""))+COUNTIF($M15:$BT15,"M"))</f>
        <v/>
      </c>
      <c r="G15" s="40">
        <f>IF($B15="","",IFERROR(SUM($M15:$BT15)/SUMPRODUCT($M$7:$BT$7*ISNUMBER($M15:$BT15)),""))</f>
        <v/>
      </c>
      <c r="H15" s="19">
        <f>IF($B15="","",IFERROR(SUMIFS($M15:$BT15,$M$6:$BT$6,H$9)/SUMPRODUCT(($M$6:$BT$6=H$9)*$M$7:$BT$7*(ISNUMBER($M15:$BT15)+($M15:$BT15="M")+(Setup!$B$9="Yes")*$M$8:$BT$8*($M15:$BT15=""))),""))</f>
        <v/>
      </c>
      <c r="I15" s="19">
        <f>IF($B15="","",IFERROR(SUMIFS($M15:$BT15,$M$6:$BT$6,I$9)/SUMPRODUCT(($M$6:$BT$6=I$9)*$M$7:$BT$7*(ISNUMBER($M15:$BT15)+($M15:$BT15="M")+(Setup!$B$9="Yes")*$M$8:$BT$8*($M15:$BT15=""))),""))</f>
        <v/>
      </c>
      <c r="J15" s="19">
        <f>IF($B15="","",IFERROR(SUMIFS($M15:$BT15,$M$6:$BT$6,J$9)/SUMPRODUCT(($M$6:$BT$6=J$9)*$M$7:$BT$7*(ISNUMBER($M15:$BT15)+($M15:$BT15="M")+(Setup!$B$9="Yes")*$M$8:$BT$8*($M15:$BT15=""))),""))</f>
        <v/>
      </c>
      <c r="K15" s="19">
        <f>IF($B15="","",IFERROR(SUMIFS($M15:$BT15,$M$6:$BT$6,K$9)/SUMPRODUCT(($M$6:$BT$6=K$9)*$M$7:$BT$7*(ISNUMBER($M15:$BT15)+($M15:$BT15="M")+(Setup!$B$9="Yes")*$M$8:$BT$8*($M15:$BT15=""))),""))</f>
        <v/>
      </c>
      <c r="L15" s="19">
        <f>IF($B15="","",IFERROR(SUMIFS($M15:$BT15,$M$6:$BT$6,L$9)/SUMPRODUCT(($M$6:$BT$6=L$9)*$M$7:$BT$7*(ISNUMBER($M15:$BT15)+($M15:$BT15="M")+(Setup!$B$9="Yes")*$M$8:$BT$8*($M15:$BT15=""))),""))</f>
        <v/>
      </c>
      <c r="M15" s="56" t="n">
        <v>8.4</v>
      </c>
      <c r="N15" s="56" t="n">
        <v>9.199999999999999</v>
      </c>
      <c r="O15" s="56" t="n">
        <v>22</v>
      </c>
      <c r="P15" s="56" t="n">
        <v>8.800000000000001</v>
      </c>
      <c r="Q15" s="56" t="n">
        <v>84</v>
      </c>
      <c r="R15" s="56" t="n">
        <v>9.300000000000001</v>
      </c>
      <c r="S15" s="56" t="n">
        <v>9.4</v>
      </c>
      <c r="T15" s="56" t="n">
        <v>18</v>
      </c>
      <c r="U15" s="56" t="n">
        <v>9</v>
      </c>
      <c r="V15" s="56" t="n">
        <v>99</v>
      </c>
      <c r="W15" s="56" t="n">
        <v>8.5</v>
      </c>
      <c r="X15" s="56" t="inlineStr">
        <is>
          <t>EX</t>
        </is>
      </c>
      <c r="Y15" s="56" t="n">
        <v>22</v>
      </c>
      <c r="Z15" s="56" t="n"/>
      <c r="AA15" s="56" t="n"/>
      <c r="AB15" s="56" t="n"/>
      <c r="AC15" s="56" t="n"/>
      <c r="AD15" s="56" t="n"/>
      <c r="AE15" s="56" t="n"/>
      <c r="AF15" s="56" t="n"/>
      <c r="AG15" s="56" t="n"/>
      <c r="AH15" s="56" t="n"/>
      <c r="AI15" s="56" t="n"/>
      <c r="AJ15" s="56" t="n"/>
      <c r="AK15" s="56" t="n"/>
      <c r="AL15" s="56" t="n"/>
      <c r="AM15" s="56" t="n"/>
      <c r="AN15" s="56" t="n"/>
      <c r="AO15" s="56" t="n"/>
      <c r="AP15" s="56" t="n"/>
      <c r="AQ15" s="56" t="n"/>
      <c r="AR15" s="56" t="n"/>
      <c r="AS15" s="56" t="n"/>
      <c r="AT15" s="56" t="n"/>
      <c r="AU15" s="56" t="n"/>
      <c r="AV15" s="56" t="n"/>
      <c r="AW15" s="56" t="n"/>
      <c r="AX15" s="56" t="n"/>
      <c r="AY15" s="56" t="n"/>
      <c r="AZ15" s="56" t="n"/>
      <c r="BA15" s="56" t="n"/>
      <c r="BB15" s="56" t="n"/>
      <c r="BC15" s="56" t="n"/>
      <c r="BD15" s="56" t="n"/>
      <c r="BE15" s="56" t="n"/>
      <c r="BF15" s="56" t="n"/>
      <c r="BG15" s="56" t="n"/>
      <c r="BH15" s="56" t="n"/>
      <c r="BI15" s="56" t="n"/>
      <c r="BJ15" s="56" t="n"/>
      <c r="BK15" s="56" t="n"/>
      <c r="BL15" s="56" t="n"/>
      <c r="BM15" s="56" t="n"/>
      <c r="BN15" s="56" t="n"/>
      <c r="BO15" s="56" t="n"/>
      <c r="BP15" s="56" t="n"/>
      <c r="BQ15" s="56" t="n"/>
      <c r="BR15" s="56" t="n"/>
      <c r="BS15" s="56" t="n"/>
      <c r="BT15" s="56" t="n"/>
    </row>
    <row r="16">
      <c r="A16" s="17" t="n">
        <v>7</v>
      </c>
      <c r="B16" s="53">
        <f>IF(Roster!B12="","",Roster!B12)</f>
        <v/>
      </c>
      <c r="C16" s="54">
        <f>IF($B16="","",IFERROR(SUMPRODUCT($H$3:$L$3,H16:L16)/SUMPRODUCT($H$3:$L$3,--ISNUMBER(H16:L16)),""))</f>
        <v/>
      </c>
      <c r="D16" s="55">
        <f>IF(C16="","",VLOOKUP(C16,Setup!$D$12:$E$23,2,TRUE))</f>
        <v/>
      </c>
      <c r="E16" s="40">
        <f>IF($B16="","",IFERROR(SUMPRODUCT($M$8:$BT$8*ISNUMBER($M16:$BT16))/SUMPRODUCT($M$8:$BT$8*($M16:$BT16&lt;&gt;"EX")),""))</f>
        <v/>
      </c>
      <c r="F16" s="34">
        <f>IF($B16="","",SUMPRODUCT($M$8:$BT$8*($M16:$BT16=""))+COUNTIF($M16:$BT16,"M"))</f>
        <v/>
      </c>
      <c r="G16" s="40">
        <f>IF($B16="","",IFERROR(SUM($M16:$BT16)/SUMPRODUCT($M$7:$BT$7*ISNUMBER($M16:$BT16)),""))</f>
        <v/>
      </c>
      <c r="H16" s="19">
        <f>IF($B16="","",IFERROR(SUMIFS($M16:$BT16,$M$6:$BT$6,H$9)/SUMPRODUCT(($M$6:$BT$6=H$9)*$M$7:$BT$7*(ISNUMBER($M16:$BT16)+($M16:$BT16="M")+(Setup!$B$9="Yes")*$M$8:$BT$8*($M16:$BT16=""))),""))</f>
        <v/>
      </c>
      <c r="I16" s="19">
        <f>IF($B16="","",IFERROR(SUMIFS($M16:$BT16,$M$6:$BT$6,I$9)/SUMPRODUCT(($M$6:$BT$6=I$9)*$M$7:$BT$7*(ISNUMBER($M16:$BT16)+($M16:$BT16="M")+(Setup!$B$9="Yes")*$M$8:$BT$8*($M16:$BT16=""))),""))</f>
        <v/>
      </c>
      <c r="J16" s="19">
        <f>IF($B16="","",IFERROR(SUMIFS($M16:$BT16,$M$6:$BT$6,J$9)/SUMPRODUCT(($M$6:$BT$6=J$9)*$M$7:$BT$7*(ISNUMBER($M16:$BT16)+($M16:$BT16="M")+(Setup!$B$9="Yes")*$M$8:$BT$8*($M16:$BT16=""))),""))</f>
        <v/>
      </c>
      <c r="K16" s="19">
        <f>IF($B16="","",IFERROR(SUMIFS($M16:$BT16,$M$6:$BT$6,K$9)/SUMPRODUCT(($M$6:$BT$6=K$9)*$M$7:$BT$7*(ISNUMBER($M16:$BT16)+($M16:$BT16="M")+(Setup!$B$9="Yes")*$M$8:$BT$8*($M16:$BT16=""))),""))</f>
        <v/>
      </c>
      <c r="L16" s="19">
        <f>IF($B16="","",IFERROR(SUMIFS($M16:$BT16,$M$6:$BT$6,L$9)/SUMPRODUCT(($M$6:$BT$6=L$9)*$M$7:$BT$7*(ISNUMBER($M16:$BT16)+($M16:$BT16="M")+(Setup!$B$9="Yes")*$M$8:$BT$8*($M16:$BT16=""))),""))</f>
        <v/>
      </c>
      <c r="M16" s="56" t="n">
        <v>9.699999999999999</v>
      </c>
      <c r="N16" s="56" t="n">
        <v>7.2</v>
      </c>
      <c r="O16" s="56" t="n">
        <v>20</v>
      </c>
      <c r="P16" s="56" t="n">
        <v>6.7</v>
      </c>
      <c r="Q16" s="56" t="n">
        <v>72</v>
      </c>
      <c r="R16" s="56" t="n">
        <v>7.7</v>
      </c>
      <c r="S16" s="56" t="n">
        <v>8.4</v>
      </c>
      <c r="T16" s="56" t="n">
        <v>22</v>
      </c>
      <c r="U16" s="56" t="n">
        <v>7</v>
      </c>
      <c r="V16" s="56" t="n">
        <v>89</v>
      </c>
      <c r="W16" s="56" t="n">
        <v>8</v>
      </c>
      <c r="X16" s="56" t="n">
        <v>8</v>
      </c>
      <c r="Y16" s="56" t="n">
        <v>17</v>
      </c>
      <c r="Z16" s="56" t="n"/>
      <c r="AA16" s="56" t="n"/>
      <c r="AB16" s="56" t="n"/>
      <c r="AC16" s="56" t="n"/>
      <c r="AD16" s="56" t="n"/>
      <c r="AE16" s="56" t="n"/>
      <c r="AF16" s="56" t="n"/>
      <c r="AG16" s="56" t="n"/>
      <c r="AH16" s="56" t="n"/>
      <c r="AI16" s="56" t="n"/>
      <c r="AJ16" s="56" t="n"/>
      <c r="AK16" s="56" t="n"/>
      <c r="AL16" s="56" t="n"/>
      <c r="AM16" s="56" t="n"/>
      <c r="AN16" s="56" t="n"/>
      <c r="AO16" s="56" t="n"/>
      <c r="AP16" s="56" t="n"/>
      <c r="AQ16" s="56" t="n"/>
      <c r="AR16" s="56" t="n"/>
      <c r="AS16" s="56" t="n"/>
      <c r="AT16" s="56" t="n"/>
      <c r="AU16" s="56" t="n"/>
      <c r="AV16" s="56" t="n"/>
      <c r="AW16" s="56" t="n"/>
      <c r="AX16" s="56" t="n"/>
      <c r="AY16" s="56" t="n"/>
      <c r="AZ16" s="56" t="n"/>
      <c r="BA16" s="56" t="n"/>
      <c r="BB16" s="56" t="n"/>
      <c r="BC16" s="56" t="n"/>
      <c r="BD16" s="56" t="n"/>
      <c r="BE16" s="56" t="n"/>
      <c r="BF16" s="56" t="n"/>
      <c r="BG16" s="56" t="n"/>
      <c r="BH16" s="56" t="n"/>
      <c r="BI16" s="56" t="n"/>
      <c r="BJ16" s="56" t="n"/>
      <c r="BK16" s="56" t="n"/>
      <c r="BL16" s="56" t="n"/>
      <c r="BM16" s="56" t="n"/>
      <c r="BN16" s="56" t="n"/>
      <c r="BO16" s="56" t="n"/>
      <c r="BP16" s="56" t="n"/>
      <c r="BQ16" s="56" t="n"/>
      <c r="BR16" s="56" t="n"/>
      <c r="BS16" s="56" t="n"/>
      <c r="BT16" s="56" t="n"/>
    </row>
    <row r="17">
      <c r="A17" s="17" t="n">
        <v>8</v>
      </c>
      <c r="B17" s="53">
        <f>IF(Roster!B13="","",Roster!B13)</f>
        <v/>
      </c>
      <c r="C17" s="54">
        <f>IF($B17="","",IFERROR(SUMPRODUCT($H$3:$L$3,H17:L17)/SUMPRODUCT($H$3:$L$3,--ISNUMBER(H17:L17)),""))</f>
        <v/>
      </c>
      <c r="D17" s="55">
        <f>IF(C17="","",VLOOKUP(C17,Setup!$D$12:$E$23,2,TRUE))</f>
        <v/>
      </c>
      <c r="E17" s="40">
        <f>IF($B17="","",IFERROR(SUMPRODUCT($M$8:$BT$8*ISNUMBER($M17:$BT17))/SUMPRODUCT($M$8:$BT$8*($M17:$BT17&lt;&gt;"EX")),""))</f>
        <v/>
      </c>
      <c r="F17" s="34">
        <f>IF($B17="","",SUMPRODUCT($M$8:$BT$8*($M17:$BT17=""))+COUNTIF($M17:$BT17,"M"))</f>
        <v/>
      </c>
      <c r="G17" s="40">
        <f>IF($B17="","",IFERROR(SUM($M17:$BT17)/SUMPRODUCT($M$7:$BT$7*ISNUMBER($M17:$BT17)),""))</f>
        <v/>
      </c>
      <c r="H17" s="19">
        <f>IF($B17="","",IFERROR(SUMIFS($M17:$BT17,$M$6:$BT$6,H$9)/SUMPRODUCT(($M$6:$BT$6=H$9)*$M$7:$BT$7*(ISNUMBER($M17:$BT17)+($M17:$BT17="M")+(Setup!$B$9="Yes")*$M$8:$BT$8*($M17:$BT17=""))),""))</f>
        <v/>
      </c>
      <c r="I17" s="19">
        <f>IF($B17="","",IFERROR(SUMIFS($M17:$BT17,$M$6:$BT$6,I$9)/SUMPRODUCT(($M$6:$BT$6=I$9)*$M$7:$BT$7*(ISNUMBER($M17:$BT17)+($M17:$BT17="M")+(Setup!$B$9="Yes")*$M$8:$BT$8*($M17:$BT17=""))),""))</f>
        <v/>
      </c>
      <c r="J17" s="19">
        <f>IF($B17="","",IFERROR(SUMIFS($M17:$BT17,$M$6:$BT$6,J$9)/SUMPRODUCT(($M$6:$BT$6=J$9)*$M$7:$BT$7*(ISNUMBER($M17:$BT17)+($M17:$BT17="M")+(Setup!$B$9="Yes")*$M$8:$BT$8*($M17:$BT17=""))),""))</f>
        <v/>
      </c>
      <c r="K17" s="19">
        <f>IF($B17="","",IFERROR(SUMIFS($M17:$BT17,$M$6:$BT$6,K$9)/SUMPRODUCT(($M$6:$BT$6=K$9)*$M$7:$BT$7*(ISNUMBER($M17:$BT17)+($M17:$BT17="M")+(Setup!$B$9="Yes")*$M$8:$BT$8*($M17:$BT17=""))),""))</f>
        <v/>
      </c>
      <c r="L17" s="19">
        <f>IF($B17="","",IFERROR(SUMIFS($M17:$BT17,$M$6:$BT$6,L$9)/SUMPRODUCT(($M$6:$BT$6=L$9)*$M$7:$BT$7*(ISNUMBER($M17:$BT17)+($M17:$BT17="M")+(Setup!$B$9="Yes")*$M$8:$BT$8*($M17:$BT17=""))),""))</f>
        <v/>
      </c>
      <c r="M17" s="56" t="n">
        <v>7.9</v>
      </c>
      <c r="N17" s="56" t="n">
        <v>8.1</v>
      </c>
      <c r="O17" s="56" t="n">
        <v>18</v>
      </c>
      <c r="P17" s="56" t="n">
        <v>7.8</v>
      </c>
      <c r="Q17" s="56" t="n">
        <v>80</v>
      </c>
      <c r="R17" s="56" t="n">
        <v>7.1</v>
      </c>
      <c r="S17" s="56" t="n">
        <v>8.300000000000001</v>
      </c>
      <c r="T17" s="56" t="n">
        <v>17</v>
      </c>
      <c r="U17" s="56" t="inlineStr">
        <is>
          <t>M</t>
        </is>
      </c>
      <c r="V17" s="56" t="n">
        <v>83</v>
      </c>
      <c r="W17" s="56" t="n">
        <v>9</v>
      </c>
      <c r="X17" s="56" t="inlineStr">
        <is>
          <t>EX</t>
        </is>
      </c>
      <c r="Y17" s="56" t="n">
        <v>15</v>
      </c>
      <c r="Z17" s="56" t="n"/>
      <c r="AA17" s="56" t="n"/>
      <c r="AB17" s="56" t="n"/>
      <c r="AC17" s="56" t="n"/>
      <c r="AD17" s="56" t="n"/>
      <c r="AE17" s="56" t="n"/>
      <c r="AF17" s="56" t="n"/>
      <c r="AG17" s="56" t="n"/>
      <c r="AH17" s="56" t="n"/>
      <c r="AI17" s="56" t="n"/>
      <c r="AJ17" s="56" t="n"/>
      <c r="AK17" s="56" t="n"/>
      <c r="AL17" s="56" t="n"/>
      <c r="AM17" s="56" t="n"/>
      <c r="AN17" s="56" t="n"/>
      <c r="AO17" s="56" t="n"/>
      <c r="AP17" s="56" t="n"/>
      <c r="AQ17" s="56" t="n"/>
      <c r="AR17" s="56" t="n"/>
      <c r="AS17" s="56" t="n"/>
      <c r="AT17" s="56" t="n"/>
      <c r="AU17" s="56" t="n"/>
      <c r="AV17" s="56" t="n"/>
      <c r="AW17" s="56" t="n"/>
      <c r="AX17" s="56" t="n"/>
      <c r="AY17" s="56" t="n"/>
      <c r="AZ17" s="56" t="n"/>
      <c r="BA17" s="56" t="n"/>
      <c r="BB17" s="56" t="n"/>
      <c r="BC17" s="56" t="n"/>
      <c r="BD17" s="56" t="n"/>
      <c r="BE17" s="56" t="n"/>
      <c r="BF17" s="56" t="n"/>
      <c r="BG17" s="56" t="n"/>
      <c r="BH17" s="56" t="n"/>
      <c r="BI17" s="56" t="n"/>
      <c r="BJ17" s="56" t="n"/>
      <c r="BK17" s="56" t="n"/>
      <c r="BL17" s="56" t="n"/>
      <c r="BM17" s="56" t="n"/>
      <c r="BN17" s="56" t="n"/>
      <c r="BO17" s="56" t="n"/>
      <c r="BP17" s="56" t="n"/>
      <c r="BQ17" s="56" t="n"/>
      <c r="BR17" s="56" t="n"/>
      <c r="BS17" s="56" t="n"/>
      <c r="BT17" s="56" t="n"/>
    </row>
    <row r="18">
      <c r="A18" s="17" t="n">
        <v>9</v>
      </c>
      <c r="B18" s="53">
        <f>IF(Roster!B14="","",Roster!B14)</f>
        <v/>
      </c>
      <c r="C18" s="54">
        <f>IF($B18="","",IFERROR(SUMPRODUCT($H$3:$L$3,H18:L18)/SUMPRODUCT($H$3:$L$3,--ISNUMBER(H18:L18)),""))</f>
        <v/>
      </c>
      <c r="D18" s="55">
        <f>IF(C18="","",VLOOKUP(C18,Setup!$D$12:$E$23,2,TRUE))</f>
        <v/>
      </c>
      <c r="E18" s="40">
        <f>IF($B18="","",IFERROR(SUMPRODUCT($M$8:$BT$8*ISNUMBER($M18:$BT18))/SUMPRODUCT($M$8:$BT$8*($M18:$BT18&lt;&gt;"EX")),""))</f>
        <v/>
      </c>
      <c r="F18" s="34">
        <f>IF($B18="","",SUMPRODUCT($M$8:$BT$8*($M18:$BT18=""))+COUNTIF($M18:$BT18,"M"))</f>
        <v/>
      </c>
      <c r="G18" s="40">
        <f>IF($B18="","",IFERROR(SUM($M18:$BT18)/SUMPRODUCT($M$7:$BT$7*ISNUMBER($M18:$BT18)),""))</f>
        <v/>
      </c>
      <c r="H18" s="19">
        <f>IF($B18="","",IFERROR(SUMIFS($M18:$BT18,$M$6:$BT$6,H$9)/SUMPRODUCT(($M$6:$BT$6=H$9)*$M$7:$BT$7*(ISNUMBER($M18:$BT18)+($M18:$BT18="M")+(Setup!$B$9="Yes")*$M$8:$BT$8*($M18:$BT18=""))),""))</f>
        <v/>
      </c>
      <c r="I18" s="19">
        <f>IF($B18="","",IFERROR(SUMIFS($M18:$BT18,$M$6:$BT$6,I$9)/SUMPRODUCT(($M$6:$BT$6=I$9)*$M$7:$BT$7*(ISNUMBER($M18:$BT18)+($M18:$BT18="M")+(Setup!$B$9="Yes")*$M$8:$BT$8*($M18:$BT18=""))),""))</f>
        <v/>
      </c>
      <c r="J18" s="19">
        <f>IF($B18="","",IFERROR(SUMIFS($M18:$BT18,$M$6:$BT$6,J$9)/SUMPRODUCT(($M$6:$BT$6=J$9)*$M$7:$BT$7*(ISNUMBER($M18:$BT18)+($M18:$BT18="M")+(Setup!$B$9="Yes")*$M$8:$BT$8*($M18:$BT18=""))),""))</f>
        <v/>
      </c>
      <c r="K18" s="19">
        <f>IF($B18="","",IFERROR(SUMIFS($M18:$BT18,$M$6:$BT$6,K$9)/SUMPRODUCT(($M$6:$BT$6=K$9)*$M$7:$BT$7*(ISNUMBER($M18:$BT18)+($M18:$BT18="M")+(Setup!$B$9="Yes")*$M$8:$BT$8*($M18:$BT18=""))),""))</f>
        <v/>
      </c>
      <c r="L18" s="19">
        <f>IF($B18="","",IFERROR(SUMIFS($M18:$BT18,$M$6:$BT$6,L$9)/SUMPRODUCT(($M$6:$BT$6=L$9)*$M$7:$BT$7*(ISNUMBER($M18:$BT18)+($M18:$BT18="M")+(Setup!$B$9="Yes")*$M$8:$BT$8*($M18:$BT18=""))),""))</f>
        <v/>
      </c>
      <c r="M18" s="56" t="n">
        <v>8.300000000000001</v>
      </c>
      <c r="N18" s="56" t="n">
        <v>7.7</v>
      </c>
      <c r="O18" s="56" t="n">
        <v>18</v>
      </c>
      <c r="P18" s="56" t="n">
        <v>7.3</v>
      </c>
      <c r="Q18" s="56" t="n">
        <v>84</v>
      </c>
      <c r="R18" s="56" t="n">
        <v>8.9</v>
      </c>
      <c r="S18" s="56" t="n">
        <v>6.8</v>
      </c>
      <c r="T18" s="56" t="n">
        <v>18</v>
      </c>
      <c r="U18" s="56" t="n">
        <v>8.800000000000001</v>
      </c>
      <c r="V18" s="56" t="inlineStr">
        <is>
          <t>M</t>
        </is>
      </c>
      <c r="W18" s="56" t="n">
        <v>8.4</v>
      </c>
      <c r="X18" s="56" t="n">
        <v>8.6</v>
      </c>
      <c r="Y18" s="56" t="n">
        <v>22</v>
      </c>
      <c r="Z18" s="56" t="n"/>
      <c r="AA18" s="56" t="n"/>
      <c r="AB18" s="56" t="n"/>
      <c r="AC18" s="56" t="n"/>
      <c r="AD18" s="56" t="n"/>
      <c r="AE18" s="56" t="n"/>
      <c r="AF18" s="56" t="n"/>
      <c r="AG18" s="56" t="n"/>
      <c r="AH18" s="56" t="n"/>
      <c r="AI18" s="56" t="n"/>
      <c r="AJ18" s="56" t="n"/>
      <c r="AK18" s="56" t="n"/>
      <c r="AL18" s="56" t="n"/>
      <c r="AM18" s="56" t="n"/>
      <c r="AN18" s="56" t="n"/>
      <c r="AO18" s="56" t="n"/>
      <c r="AP18" s="56" t="n"/>
      <c r="AQ18" s="56" t="n"/>
      <c r="AR18" s="56" t="n"/>
      <c r="AS18" s="56" t="n"/>
      <c r="AT18" s="56" t="n"/>
      <c r="AU18" s="56" t="n"/>
      <c r="AV18" s="56" t="n"/>
      <c r="AW18" s="56" t="n"/>
      <c r="AX18" s="56" t="n"/>
      <c r="AY18" s="56" t="n"/>
      <c r="AZ18" s="56" t="n"/>
      <c r="BA18" s="56" t="n"/>
      <c r="BB18" s="56" t="n"/>
      <c r="BC18" s="56" t="n"/>
      <c r="BD18" s="56" t="n"/>
      <c r="BE18" s="56" t="n"/>
      <c r="BF18" s="56" t="n"/>
      <c r="BG18" s="56" t="n"/>
      <c r="BH18" s="56" t="n"/>
      <c r="BI18" s="56" t="n"/>
      <c r="BJ18" s="56" t="n"/>
      <c r="BK18" s="56" t="n"/>
      <c r="BL18" s="56" t="n"/>
      <c r="BM18" s="56" t="n"/>
      <c r="BN18" s="56" t="n"/>
      <c r="BO18" s="56" t="n"/>
      <c r="BP18" s="56" t="n"/>
      <c r="BQ18" s="56" t="n"/>
      <c r="BR18" s="56" t="n"/>
      <c r="BS18" s="56" t="n"/>
      <c r="BT18" s="56" t="n"/>
    </row>
    <row r="19">
      <c r="A19" s="17" t="n">
        <v>10</v>
      </c>
      <c r="B19" s="53">
        <f>IF(Roster!B15="","",Roster!B15)</f>
        <v/>
      </c>
      <c r="C19" s="54">
        <f>IF($B19="","",IFERROR(SUMPRODUCT($H$3:$L$3,H19:L19)/SUMPRODUCT($H$3:$L$3,--ISNUMBER(H19:L19)),""))</f>
        <v/>
      </c>
      <c r="D19" s="55">
        <f>IF(C19="","",VLOOKUP(C19,Setup!$D$12:$E$23,2,TRUE))</f>
        <v/>
      </c>
      <c r="E19" s="40">
        <f>IF($B19="","",IFERROR(SUMPRODUCT($M$8:$BT$8*ISNUMBER($M19:$BT19))/SUMPRODUCT($M$8:$BT$8*($M19:$BT19&lt;&gt;"EX")),""))</f>
        <v/>
      </c>
      <c r="F19" s="34">
        <f>IF($B19="","",SUMPRODUCT($M$8:$BT$8*($M19:$BT19=""))+COUNTIF($M19:$BT19,"M"))</f>
        <v/>
      </c>
      <c r="G19" s="40">
        <f>IF($B19="","",IFERROR(SUM($M19:$BT19)/SUMPRODUCT($M$7:$BT$7*ISNUMBER($M19:$BT19)),""))</f>
        <v/>
      </c>
      <c r="H19" s="19">
        <f>IF($B19="","",IFERROR(SUMIFS($M19:$BT19,$M$6:$BT$6,H$9)/SUMPRODUCT(($M$6:$BT$6=H$9)*$M$7:$BT$7*(ISNUMBER($M19:$BT19)+($M19:$BT19="M")+(Setup!$B$9="Yes")*$M$8:$BT$8*($M19:$BT19=""))),""))</f>
        <v/>
      </c>
      <c r="I19" s="19">
        <f>IF($B19="","",IFERROR(SUMIFS($M19:$BT19,$M$6:$BT$6,I$9)/SUMPRODUCT(($M$6:$BT$6=I$9)*$M$7:$BT$7*(ISNUMBER($M19:$BT19)+($M19:$BT19="M")+(Setup!$B$9="Yes")*$M$8:$BT$8*($M19:$BT19=""))),""))</f>
        <v/>
      </c>
      <c r="J19" s="19">
        <f>IF($B19="","",IFERROR(SUMIFS($M19:$BT19,$M$6:$BT$6,J$9)/SUMPRODUCT(($M$6:$BT$6=J$9)*$M$7:$BT$7*(ISNUMBER($M19:$BT19)+($M19:$BT19="M")+(Setup!$B$9="Yes")*$M$8:$BT$8*($M19:$BT19=""))),""))</f>
        <v/>
      </c>
      <c r="K19" s="19">
        <f>IF($B19="","",IFERROR(SUMIFS($M19:$BT19,$M$6:$BT$6,K$9)/SUMPRODUCT(($M$6:$BT$6=K$9)*$M$7:$BT$7*(ISNUMBER($M19:$BT19)+($M19:$BT19="M")+(Setup!$B$9="Yes")*$M$8:$BT$8*($M19:$BT19=""))),""))</f>
        <v/>
      </c>
      <c r="L19" s="19">
        <f>IF($B19="","",IFERROR(SUMIFS($M19:$BT19,$M$6:$BT$6,L$9)/SUMPRODUCT(($M$6:$BT$6=L$9)*$M$7:$BT$7*(ISNUMBER($M19:$BT19)+($M19:$BT19="M")+(Setup!$B$9="Yes")*$M$8:$BT$8*($M19:$BT19=""))),""))</f>
        <v/>
      </c>
      <c r="M19" s="56" t="n">
        <v>6.8</v>
      </c>
      <c r="N19" s="56" t="n">
        <v>8.1</v>
      </c>
      <c r="O19" s="56" t="n">
        <v>17</v>
      </c>
      <c r="P19" s="56" t="n">
        <v>7.3</v>
      </c>
      <c r="Q19" s="56" t="n">
        <v>78</v>
      </c>
      <c r="R19" s="56" t="inlineStr">
        <is>
          <t>EX</t>
        </is>
      </c>
      <c r="S19" s="56" t="n">
        <v>6.7</v>
      </c>
      <c r="T19" s="56" t="n">
        <v>21</v>
      </c>
      <c r="U19" s="56" t="n">
        <v>7.8</v>
      </c>
      <c r="V19" s="56" t="n">
        <v>70</v>
      </c>
      <c r="W19" s="56" t="n">
        <v>8</v>
      </c>
      <c r="X19" s="56" t="n">
        <v>7.9</v>
      </c>
      <c r="Y19" s="56" t="n">
        <v>18</v>
      </c>
      <c r="Z19" s="56" t="n"/>
      <c r="AA19" s="56" t="n"/>
      <c r="AB19" s="56" t="n"/>
      <c r="AC19" s="56" t="n"/>
      <c r="AD19" s="56" t="n"/>
      <c r="AE19" s="56" t="n"/>
      <c r="AF19" s="56" t="n"/>
      <c r="AG19" s="56" t="n"/>
      <c r="AH19" s="56" t="n"/>
      <c r="AI19" s="56" t="n"/>
      <c r="AJ19" s="56" t="n"/>
      <c r="AK19" s="56" t="n"/>
      <c r="AL19" s="56" t="n"/>
      <c r="AM19" s="56" t="n"/>
      <c r="AN19" s="56" t="n"/>
      <c r="AO19" s="56" t="n"/>
      <c r="AP19" s="56" t="n"/>
      <c r="AQ19" s="56" t="n"/>
      <c r="AR19" s="56" t="n"/>
      <c r="AS19" s="56" t="n"/>
      <c r="AT19" s="56" t="n"/>
      <c r="AU19" s="56" t="n"/>
      <c r="AV19" s="56" t="n"/>
      <c r="AW19" s="56" t="n"/>
      <c r="AX19" s="56" t="n"/>
      <c r="AY19" s="56" t="n"/>
      <c r="AZ19" s="56" t="n"/>
      <c r="BA19" s="56" t="n"/>
      <c r="BB19" s="56" t="n"/>
      <c r="BC19" s="56" t="n"/>
      <c r="BD19" s="56" t="n"/>
      <c r="BE19" s="56" t="n"/>
      <c r="BF19" s="56" t="n"/>
      <c r="BG19" s="56" t="n"/>
      <c r="BH19" s="56" t="n"/>
      <c r="BI19" s="56" t="n"/>
      <c r="BJ19" s="56" t="n"/>
      <c r="BK19" s="56" t="n"/>
      <c r="BL19" s="56" t="n"/>
      <c r="BM19" s="56" t="n"/>
      <c r="BN19" s="56" t="n"/>
      <c r="BO19" s="56" t="n"/>
      <c r="BP19" s="56" t="n"/>
      <c r="BQ19" s="56" t="n"/>
      <c r="BR19" s="56" t="n"/>
      <c r="BS19" s="56" t="n"/>
      <c r="BT19" s="56" t="n"/>
    </row>
    <row r="20">
      <c r="A20" s="17" t="n">
        <v>11</v>
      </c>
      <c r="B20" s="53">
        <f>IF(Roster!B16="","",Roster!B16)</f>
        <v/>
      </c>
      <c r="C20" s="54">
        <f>IF($B20="","",IFERROR(SUMPRODUCT($H$3:$L$3,H20:L20)/SUMPRODUCT($H$3:$L$3,--ISNUMBER(H20:L20)),""))</f>
        <v/>
      </c>
      <c r="D20" s="55">
        <f>IF(C20="","",VLOOKUP(C20,Setup!$D$12:$E$23,2,TRUE))</f>
        <v/>
      </c>
      <c r="E20" s="40">
        <f>IF($B20="","",IFERROR(SUMPRODUCT($M$8:$BT$8*ISNUMBER($M20:$BT20))/SUMPRODUCT($M$8:$BT$8*($M20:$BT20&lt;&gt;"EX")),""))</f>
        <v/>
      </c>
      <c r="F20" s="34">
        <f>IF($B20="","",SUMPRODUCT($M$8:$BT$8*($M20:$BT20=""))+COUNTIF($M20:$BT20,"M"))</f>
        <v/>
      </c>
      <c r="G20" s="40">
        <f>IF($B20="","",IFERROR(SUM($M20:$BT20)/SUMPRODUCT($M$7:$BT$7*ISNUMBER($M20:$BT20)),""))</f>
        <v/>
      </c>
      <c r="H20" s="19">
        <f>IF($B20="","",IFERROR(SUMIFS($M20:$BT20,$M$6:$BT$6,H$9)/SUMPRODUCT(($M$6:$BT$6=H$9)*$M$7:$BT$7*(ISNUMBER($M20:$BT20)+($M20:$BT20="M")+(Setup!$B$9="Yes")*$M$8:$BT$8*($M20:$BT20=""))),""))</f>
        <v/>
      </c>
      <c r="I20" s="19">
        <f>IF($B20="","",IFERROR(SUMIFS($M20:$BT20,$M$6:$BT$6,I$9)/SUMPRODUCT(($M$6:$BT$6=I$9)*$M$7:$BT$7*(ISNUMBER($M20:$BT20)+($M20:$BT20="M")+(Setup!$B$9="Yes")*$M$8:$BT$8*($M20:$BT20=""))),""))</f>
        <v/>
      </c>
      <c r="J20" s="19">
        <f>IF($B20="","",IFERROR(SUMIFS($M20:$BT20,$M$6:$BT$6,J$9)/SUMPRODUCT(($M$6:$BT$6=J$9)*$M$7:$BT$7*(ISNUMBER($M20:$BT20)+($M20:$BT20="M")+(Setup!$B$9="Yes")*$M$8:$BT$8*($M20:$BT20=""))),""))</f>
        <v/>
      </c>
      <c r="K20" s="19">
        <f>IF($B20="","",IFERROR(SUMIFS($M20:$BT20,$M$6:$BT$6,K$9)/SUMPRODUCT(($M$6:$BT$6=K$9)*$M$7:$BT$7*(ISNUMBER($M20:$BT20)+($M20:$BT20="M")+(Setup!$B$9="Yes")*$M$8:$BT$8*($M20:$BT20=""))),""))</f>
        <v/>
      </c>
      <c r="L20" s="19">
        <f>IF($B20="","",IFERROR(SUMIFS($M20:$BT20,$M$6:$BT$6,L$9)/SUMPRODUCT(($M$6:$BT$6=L$9)*$M$7:$BT$7*(ISNUMBER($M20:$BT20)+($M20:$BT20="M")+(Setup!$B$9="Yes")*$M$8:$BT$8*($M20:$BT20=""))),""))</f>
        <v/>
      </c>
      <c r="M20" s="56" t="n">
        <v>10</v>
      </c>
      <c r="N20" s="56" t="n">
        <v>9.6</v>
      </c>
      <c r="O20" s="56" t="n">
        <v>25</v>
      </c>
      <c r="P20" s="56" t="n">
        <v>10</v>
      </c>
      <c r="Q20" s="56" t="n">
        <v>97</v>
      </c>
      <c r="R20" s="56" t="n">
        <v>9.9</v>
      </c>
      <c r="S20" s="56" t="n">
        <v>9.9</v>
      </c>
      <c r="T20" s="56" t="n">
        <v>24</v>
      </c>
      <c r="U20" s="56" t="n">
        <v>9.5</v>
      </c>
      <c r="V20" s="56" t="n">
        <v>100</v>
      </c>
      <c r="W20" s="56" t="n">
        <v>9.5</v>
      </c>
      <c r="X20" s="56" t="n">
        <v>10</v>
      </c>
      <c r="Y20" s="56" t="n">
        <v>21</v>
      </c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  <c r="AM20" s="56" t="n"/>
      <c r="AN20" s="56" t="n"/>
      <c r="AO20" s="56" t="n"/>
      <c r="AP20" s="56" t="n"/>
      <c r="AQ20" s="56" t="n"/>
      <c r="AR20" s="56" t="n"/>
      <c r="AS20" s="56" t="n"/>
      <c r="AT20" s="56" t="n"/>
      <c r="AU20" s="56" t="n"/>
      <c r="AV20" s="56" t="n"/>
      <c r="AW20" s="56" t="n"/>
      <c r="AX20" s="56" t="n"/>
      <c r="AY20" s="56" t="n"/>
      <c r="AZ20" s="56" t="n"/>
      <c r="BA20" s="56" t="n"/>
      <c r="BB20" s="56" t="n"/>
      <c r="BC20" s="56" t="n"/>
      <c r="BD20" s="56" t="n"/>
      <c r="BE20" s="56" t="n"/>
      <c r="BF20" s="56" t="n"/>
      <c r="BG20" s="56" t="n"/>
      <c r="BH20" s="56" t="n"/>
      <c r="BI20" s="56" t="n"/>
      <c r="BJ20" s="56" t="n"/>
      <c r="BK20" s="56" t="n"/>
      <c r="BL20" s="56" t="n"/>
      <c r="BM20" s="56" t="n"/>
      <c r="BN20" s="56" t="n"/>
      <c r="BO20" s="56" t="n"/>
      <c r="BP20" s="56" t="n"/>
      <c r="BQ20" s="56" t="n"/>
      <c r="BR20" s="56" t="n"/>
      <c r="BS20" s="56" t="n"/>
      <c r="BT20" s="56" t="n"/>
    </row>
    <row r="21">
      <c r="A21" s="17" t="n">
        <v>12</v>
      </c>
      <c r="B21" s="53">
        <f>IF(Roster!B17="","",Roster!B17)</f>
        <v/>
      </c>
      <c r="C21" s="54">
        <f>IF($B21="","",IFERROR(SUMPRODUCT($H$3:$L$3,H21:L21)/SUMPRODUCT($H$3:$L$3,--ISNUMBER(H21:L21)),""))</f>
        <v/>
      </c>
      <c r="D21" s="55">
        <f>IF(C21="","",VLOOKUP(C21,Setup!$D$12:$E$23,2,TRUE))</f>
        <v/>
      </c>
      <c r="E21" s="40">
        <f>IF($B21="","",IFERROR(SUMPRODUCT($M$8:$BT$8*ISNUMBER($M21:$BT21))/SUMPRODUCT($M$8:$BT$8*($M21:$BT21&lt;&gt;"EX")),""))</f>
        <v/>
      </c>
      <c r="F21" s="34">
        <f>IF($B21="","",SUMPRODUCT($M$8:$BT$8*($M21:$BT21=""))+COUNTIF($M21:$BT21,"M"))</f>
        <v/>
      </c>
      <c r="G21" s="40">
        <f>IF($B21="","",IFERROR(SUM($M21:$BT21)/SUMPRODUCT($M$7:$BT$7*ISNUMBER($M21:$BT21)),""))</f>
        <v/>
      </c>
      <c r="H21" s="19">
        <f>IF($B21="","",IFERROR(SUMIFS($M21:$BT21,$M$6:$BT$6,H$9)/SUMPRODUCT(($M$6:$BT$6=H$9)*$M$7:$BT$7*(ISNUMBER($M21:$BT21)+($M21:$BT21="M")+(Setup!$B$9="Yes")*$M$8:$BT$8*($M21:$BT21=""))),""))</f>
        <v/>
      </c>
      <c r="I21" s="19">
        <f>IF($B21="","",IFERROR(SUMIFS($M21:$BT21,$M$6:$BT$6,I$9)/SUMPRODUCT(($M$6:$BT$6=I$9)*$M$7:$BT$7*(ISNUMBER($M21:$BT21)+($M21:$BT21="M")+(Setup!$B$9="Yes")*$M$8:$BT$8*($M21:$BT21=""))),""))</f>
        <v/>
      </c>
      <c r="J21" s="19">
        <f>IF($B21="","",IFERROR(SUMIFS($M21:$BT21,$M$6:$BT$6,J$9)/SUMPRODUCT(($M$6:$BT$6=J$9)*$M$7:$BT$7*(ISNUMBER($M21:$BT21)+($M21:$BT21="M")+(Setup!$B$9="Yes")*$M$8:$BT$8*($M21:$BT21=""))),""))</f>
        <v/>
      </c>
      <c r="K21" s="19">
        <f>IF($B21="","",IFERROR(SUMIFS($M21:$BT21,$M$6:$BT$6,K$9)/SUMPRODUCT(($M$6:$BT$6=K$9)*$M$7:$BT$7*(ISNUMBER($M21:$BT21)+($M21:$BT21="M")+(Setup!$B$9="Yes")*$M$8:$BT$8*($M21:$BT21=""))),""))</f>
        <v/>
      </c>
      <c r="L21" s="19">
        <f>IF($B21="","",IFERROR(SUMIFS($M21:$BT21,$M$6:$BT$6,L$9)/SUMPRODUCT(($M$6:$BT$6=L$9)*$M$7:$BT$7*(ISNUMBER($M21:$BT21)+($M21:$BT21="M")+(Setup!$B$9="Yes")*$M$8:$BT$8*($M21:$BT21=""))),""))</f>
        <v/>
      </c>
      <c r="M21" s="56" t="n">
        <v>6.8</v>
      </c>
      <c r="N21" s="56" t="n">
        <v>9.199999999999999</v>
      </c>
      <c r="O21" s="56" t="n">
        <v>21</v>
      </c>
      <c r="P21" s="56" t="n">
        <v>8.1</v>
      </c>
      <c r="Q21" s="56" t="n">
        <v>78</v>
      </c>
      <c r="R21" s="56" t="n">
        <v>8.800000000000001</v>
      </c>
      <c r="S21" s="56" t="n">
        <v>8.1</v>
      </c>
      <c r="T21" s="56" t="n">
        <v>20</v>
      </c>
      <c r="U21" s="56" t="n">
        <v>7.9</v>
      </c>
      <c r="V21" s="56" t="inlineStr">
        <is>
          <t>EX</t>
        </is>
      </c>
      <c r="W21" s="56" t="n">
        <v>8</v>
      </c>
      <c r="X21" s="56" t="n">
        <v>8.1</v>
      </c>
      <c r="Y21" s="56" t="n">
        <v>21</v>
      </c>
      <c r="Z21" s="56" t="n"/>
      <c r="AA21" s="56" t="n"/>
      <c r="AB21" s="56" t="n"/>
      <c r="AC21" s="56" t="n"/>
      <c r="AD21" s="56" t="n"/>
      <c r="AE21" s="56" t="n"/>
      <c r="AF21" s="56" t="n"/>
      <c r="AG21" s="56" t="n"/>
      <c r="AH21" s="56" t="n"/>
      <c r="AI21" s="56" t="n"/>
      <c r="AJ21" s="56" t="n"/>
      <c r="AK21" s="56" t="n"/>
      <c r="AL21" s="56" t="n"/>
      <c r="AM21" s="56" t="n"/>
      <c r="AN21" s="56" t="n"/>
      <c r="AO21" s="56" t="n"/>
      <c r="AP21" s="56" t="n"/>
      <c r="AQ21" s="56" t="n"/>
      <c r="AR21" s="56" t="n"/>
      <c r="AS21" s="56" t="n"/>
      <c r="AT21" s="56" t="n"/>
      <c r="AU21" s="56" t="n"/>
      <c r="AV21" s="56" t="n"/>
      <c r="AW21" s="56" t="n"/>
      <c r="AX21" s="56" t="n"/>
      <c r="AY21" s="56" t="n"/>
      <c r="AZ21" s="56" t="n"/>
      <c r="BA21" s="56" t="n"/>
      <c r="BB21" s="56" t="n"/>
      <c r="BC21" s="56" t="n"/>
      <c r="BD21" s="56" t="n"/>
      <c r="BE21" s="56" t="n"/>
      <c r="BF21" s="56" t="n"/>
      <c r="BG21" s="56" t="n"/>
      <c r="BH21" s="56" t="n"/>
      <c r="BI21" s="56" t="n"/>
      <c r="BJ21" s="56" t="n"/>
      <c r="BK21" s="56" t="n"/>
      <c r="BL21" s="56" t="n"/>
      <c r="BM21" s="56" t="n"/>
      <c r="BN21" s="56" t="n"/>
      <c r="BO21" s="56" t="n"/>
      <c r="BP21" s="56" t="n"/>
      <c r="BQ21" s="56" t="n"/>
      <c r="BR21" s="56" t="n"/>
      <c r="BS21" s="56" t="n"/>
      <c r="BT21" s="56" t="n"/>
    </row>
    <row r="22">
      <c r="A22" s="17" t="n">
        <v>13</v>
      </c>
      <c r="B22" s="53">
        <f>IF(Roster!B18="","",Roster!B18)</f>
        <v/>
      </c>
      <c r="C22" s="54">
        <f>IF($B22="","",IFERROR(SUMPRODUCT($H$3:$L$3,H22:L22)/SUMPRODUCT($H$3:$L$3,--ISNUMBER(H22:L22)),""))</f>
        <v/>
      </c>
      <c r="D22" s="55">
        <f>IF(C22="","",VLOOKUP(C22,Setup!$D$12:$E$23,2,TRUE))</f>
        <v/>
      </c>
      <c r="E22" s="40">
        <f>IF($B22="","",IFERROR(SUMPRODUCT($M$8:$BT$8*ISNUMBER($M22:$BT22))/SUMPRODUCT($M$8:$BT$8*($M22:$BT22&lt;&gt;"EX")),""))</f>
        <v/>
      </c>
      <c r="F22" s="34">
        <f>IF($B22="","",SUMPRODUCT($M$8:$BT$8*($M22:$BT22=""))+COUNTIF($M22:$BT22,"M"))</f>
        <v/>
      </c>
      <c r="G22" s="40">
        <f>IF($B22="","",IFERROR(SUM($M22:$BT22)/SUMPRODUCT($M$7:$BT$7*ISNUMBER($M22:$BT22)),""))</f>
        <v/>
      </c>
      <c r="H22" s="19">
        <f>IF($B22="","",IFERROR(SUMIFS($M22:$BT22,$M$6:$BT$6,H$9)/SUMPRODUCT(($M$6:$BT$6=H$9)*$M$7:$BT$7*(ISNUMBER($M22:$BT22)+($M22:$BT22="M")+(Setup!$B$9="Yes")*$M$8:$BT$8*($M22:$BT22=""))),""))</f>
        <v/>
      </c>
      <c r="I22" s="19">
        <f>IF($B22="","",IFERROR(SUMIFS($M22:$BT22,$M$6:$BT$6,I$9)/SUMPRODUCT(($M$6:$BT$6=I$9)*$M$7:$BT$7*(ISNUMBER($M22:$BT22)+($M22:$BT22="M")+(Setup!$B$9="Yes")*$M$8:$BT$8*($M22:$BT22=""))),""))</f>
        <v/>
      </c>
      <c r="J22" s="19">
        <f>IF($B22="","",IFERROR(SUMIFS($M22:$BT22,$M$6:$BT$6,J$9)/SUMPRODUCT(($M$6:$BT$6=J$9)*$M$7:$BT$7*(ISNUMBER($M22:$BT22)+($M22:$BT22="M")+(Setup!$B$9="Yes")*$M$8:$BT$8*($M22:$BT22=""))),""))</f>
        <v/>
      </c>
      <c r="K22" s="19">
        <f>IF($B22="","",IFERROR(SUMIFS($M22:$BT22,$M$6:$BT$6,K$9)/SUMPRODUCT(($M$6:$BT$6=K$9)*$M$7:$BT$7*(ISNUMBER($M22:$BT22)+($M22:$BT22="M")+(Setup!$B$9="Yes")*$M$8:$BT$8*($M22:$BT22=""))),""))</f>
        <v/>
      </c>
      <c r="L22" s="19">
        <f>IF($B22="","",IFERROR(SUMIFS($M22:$BT22,$M$6:$BT$6,L$9)/SUMPRODUCT(($M$6:$BT$6=L$9)*$M$7:$BT$7*(ISNUMBER($M22:$BT22)+($M22:$BT22="M")+(Setup!$B$9="Yes")*$M$8:$BT$8*($M22:$BT22=""))),""))</f>
        <v/>
      </c>
      <c r="M22" s="56" t="n">
        <v>8.4</v>
      </c>
      <c r="N22" s="56" t="n">
        <v>8.5</v>
      </c>
      <c r="O22" s="56" t="n">
        <v>25</v>
      </c>
      <c r="P22" s="56" t="n">
        <v>9.5</v>
      </c>
      <c r="Q22" s="56" t="n">
        <v>95</v>
      </c>
      <c r="R22" s="56" t="n">
        <v>8.9</v>
      </c>
      <c r="S22" s="56" t="n">
        <v>8.5</v>
      </c>
      <c r="T22" s="56" t="inlineStr">
        <is>
          <t>EX</t>
        </is>
      </c>
      <c r="U22" s="56" t="n">
        <v>8.300000000000001</v>
      </c>
      <c r="V22" s="56" t="n">
        <v>97</v>
      </c>
      <c r="W22" s="56" t="n">
        <v>10</v>
      </c>
      <c r="X22" s="56" t="n">
        <v>9.4</v>
      </c>
      <c r="Y22" s="56" t="n">
        <v>25</v>
      </c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6" t="n"/>
      <c r="AK22" s="56" t="n"/>
      <c r="AL22" s="56" t="n"/>
      <c r="AM22" s="56" t="n"/>
      <c r="AN22" s="56" t="n"/>
      <c r="AO22" s="56" t="n"/>
      <c r="AP22" s="56" t="n"/>
      <c r="AQ22" s="56" t="n"/>
      <c r="AR22" s="56" t="n"/>
      <c r="AS22" s="56" t="n"/>
      <c r="AT22" s="56" t="n"/>
      <c r="AU22" s="56" t="n"/>
      <c r="AV22" s="56" t="n"/>
      <c r="AW22" s="56" t="n"/>
      <c r="AX22" s="56" t="n"/>
      <c r="AY22" s="56" t="n"/>
      <c r="AZ22" s="56" t="n"/>
      <c r="BA22" s="56" t="n"/>
      <c r="BB22" s="56" t="n"/>
      <c r="BC22" s="56" t="n"/>
      <c r="BD22" s="56" t="n"/>
      <c r="BE22" s="56" t="n"/>
      <c r="BF22" s="56" t="n"/>
      <c r="BG22" s="56" t="n"/>
      <c r="BH22" s="56" t="n"/>
      <c r="BI22" s="56" t="n"/>
      <c r="BJ22" s="56" t="n"/>
      <c r="BK22" s="56" t="n"/>
      <c r="BL22" s="56" t="n"/>
      <c r="BM22" s="56" t="n"/>
      <c r="BN22" s="56" t="n"/>
      <c r="BO22" s="56" t="n"/>
      <c r="BP22" s="56" t="n"/>
      <c r="BQ22" s="56" t="n"/>
      <c r="BR22" s="56" t="n"/>
      <c r="BS22" s="56" t="n"/>
      <c r="BT22" s="56" t="n"/>
    </row>
    <row r="23">
      <c r="A23" s="17" t="n">
        <v>14</v>
      </c>
      <c r="B23" s="53">
        <f>IF(Roster!B19="","",Roster!B19)</f>
        <v/>
      </c>
      <c r="C23" s="54">
        <f>IF($B23="","",IFERROR(SUMPRODUCT($H$3:$L$3,H23:L23)/SUMPRODUCT($H$3:$L$3,--ISNUMBER(H23:L23)),""))</f>
        <v/>
      </c>
      <c r="D23" s="55">
        <f>IF(C23="","",VLOOKUP(C23,Setup!$D$12:$E$23,2,TRUE))</f>
        <v/>
      </c>
      <c r="E23" s="40">
        <f>IF($B23="","",IFERROR(SUMPRODUCT($M$8:$BT$8*ISNUMBER($M23:$BT23))/SUMPRODUCT($M$8:$BT$8*($M23:$BT23&lt;&gt;"EX")),""))</f>
        <v/>
      </c>
      <c r="F23" s="34">
        <f>IF($B23="","",SUMPRODUCT($M$8:$BT$8*($M23:$BT23=""))+COUNTIF($M23:$BT23,"M"))</f>
        <v/>
      </c>
      <c r="G23" s="40">
        <f>IF($B23="","",IFERROR(SUM($M23:$BT23)/SUMPRODUCT($M$7:$BT$7*ISNUMBER($M23:$BT23)),""))</f>
        <v/>
      </c>
      <c r="H23" s="19">
        <f>IF($B23="","",IFERROR(SUMIFS($M23:$BT23,$M$6:$BT$6,H$9)/SUMPRODUCT(($M$6:$BT$6=H$9)*$M$7:$BT$7*(ISNUMBER($M23:$BT23)+($M23:$BT23="M")+(Setup!$B$9="Yes")*$M$8:$BT$8*($M23:$BT23=""))),""))</f>
        <v/>
      </c>
      <c r="I23" s="19">
        <f>IF($B23="","",IFERROR(SUMIFS($M23:$BT23,$M$6:$BT$6,I$9)/SUMPRODUCT(($M$6:$BT$6=I$9)*$M$7:$BT$7*(ISNUMBER($M23:$BT23)+($M23:$BT23="M")+(Setup!$B$9="Yes")*$M$8:$BT$8*($M23:$BT23=""))),""))</f>
        <v/>
      </c>
      <c r="J23" s="19">
        <f>IF($B23="","",IFERROR(SUMIFS($M23:$BT23,$M$6:$BT$6,J$9)/SUMPRODUCT(($M$6:$BT$6=J$9)*$M$7:$BT$7*(ISNUMBER($M23:$BT23)+($M23:$BT23="M")+(Setup!$B$9="Yes")*$M$8:$BT$8*($M23:$BT23=""))),""))</f>
        <v/>
      </c>
      <c r="K23" s="19">
        <f>IF($B23="","",IFERROR(SUMIFS($M23:$BT23,$M$6:$BT$6,K$9)/SUMPRODUCT(($M$6:$BT$6=K$9)*$M$7:$BT$7*(ISNUMBER($M23:$BT23)+($M23:$BT23="M")+(Setup!$B$9="Yes")*$M$8:$BT$8*($M23:$BT23=""))),""))</f>
        <v/>
      </c>
      <c r="L23" s="19">
        <f>IF($B23="","",IFERROR(SUMIFS($M23:$BT23,$M$6:$BT$6,L$9)/SUMPRODUCT(($M$6:$BT$6=L$9)*$M$7:$BT$7*(ISNUMBER($M23:$BT23)+($M23:$BT23="M")+(Setup!$B$9="Yes")*$M$8:$BT$8*($M23:$BT23=""))),""))</f>
        <v/>
      </c>
      <c r="M23" s="56" t="n">
        <v>9.6</v>
      </c>
      <c r="N23" s="56" t="inlineStr">
        <is>
          <t>M</t>
        </is>
      </c>
      <c r="O23" s="56" t="inlineStr">
        <is>
          <t>M</t>
        </is>
      </c>
      <c r="P23" s="56" t="inlineStr">
        <is>
          <t>M</t>
        </is>
      </c>
      <c r="Q23" s="56" t="n">
        <v>93</v>
      </c>
      <c r="R23" s="56" t="n">
        <v>9.800000000000001</v>
      </c>
      <c r="S23" s="56" t="inlineStr">
        <is>
          <t>M</t>
        </is>
      </c>
      <c r="T23" s="56" t="n">
        <v>22</v>
      </c>
      <c r="U23" s="56" t="n">
        <v>9.1</v>
      </c>
      <c r="V23" s="56" t="n">
        <v>87</v>
      </c>
      <c r="W23" s="56" t="n">
        <v>10</v>
      </c>
      <c r="X23" s="56" t="n">
        <v>9.699999999999999</v>
      </c>
      <c r="Y23" s="56" t="n">
        <v>22</v>
      </c>
      <c r="Z23" s="56" t="n"/>
      <c r="AA23" s="56" t="n"/>
      <c r="AB23" s="56" t="n"/>
      <c r="AC23" s="56" t="n"/>
      <c r="AD23" s="56" t="n"/>
      <c r="AE23" s="56" t="n"/>
      <c r="AF23" s="56" t="n"/>
      <c r="AG23" s="56" t="n"/>
      <c r="AH23" s="56" t="n"/>
      <c r="AI23" s="56" t="n"/>
      <c r="AJ23" s="56" t="n"/>
      <c r="AK23" s="56" t="n"/>
      <c r="AL23" s="56" t="n"/>
      <c r="AM23" s="56" t="n"/>
      <c r="AN23" s="56" t="n"/>
      <c r="AO23" s="56" t="n"/>
      <c r="AP23" s="56" t="n"/>
      <c r="AQ23" s="56" t="n"/>
      <c r="AR23" s="56" t="n"/>
      <c r="AS23" s="56" t="n"/>
      <c r="AT23" s="56" t="n"/>
      <c r="AU23" s="56" t="n"/>
      <c r="AV23" s="56" t="n"/>
      <c r="AW23" s="56" t="n"/>
      <c r="AX23" s="56" t="n"/>
      <c r="AY23" s="56" t="n"/>
      <c r="AZ23" s="56" t="n"/>
      <c r="BA23" s="56" t="n"/>
      <c r="BB23" s="56" t="n"/>
      <c r="BC23" s="56" t="n"/>
      <c r="BD23" s="56" t="n"/>
      <c r="BE23" s="56" t="n"/>
      <c r="BF23" s="56" t="n"/>
      <c r="BG23" s="56" t="n"/>
      <c r="BH23" s="56" t="n"/>
      <c r="BI23" s="56" t="n"/>
      <c r="BJ23" s="56" t="n"/>
      <c r="BK23" s="56" t="n"/>
      <c r="BL23" s="56" t="n"/>
      <c r="BM23" s="56" t="n"/>
      <c r="BN23" s="56" t="n"/>
      <c r="BO23" s="56" t="n"/>
      <c r="BP23" s="56" t="n"/>
      <c r="BQ23" s="56" t="n"/>
      <c r="BR23" s="56" t="n"/>
      <c r="BS23" s="56" t="n"/>
      <c r="BT23" s="56" t="n"/>
    </row>
    <row r="24">
      <c r="A24" s="17" t="n">
        <v>15</v>
      </c>
      <c r="B24" s="53">
        <f>IF(Roster!B20="","",Roster!B20)</f>
        <v/>
      </c>
      <c r="C24" s="54">
        <f>IF($B24="","",IFERROR(SUMPRODUCT($H$3:$L$3,H24:L24)/SUMPRODUCT($H$3:$L$3,--ISNUMBER(H24:L24)),""))</f>
        <v/>
      </c>
      <c r="D24" s="55">
        <f>IF(C24="","",VLOOKUP(C24,Setup!$D$12:$E$23,2,TRUE))</f>
        <v/>
      </c>
      <c r="E24" s="40">
        <f>IF($B24="","",IFERROR(SUMPRODUCT($M$8:$BT$8*ISNUMBER($M24:$BT24))/SUMPRODUCT($M$8:$BT$8*($M24:$BT24&lt;&gt;"EX")),""))</f>
        <v/>
      </c>
      <c r="F24" s="34">
        <f>IF($B24="","",SUMPRODUCT($M$8:$BT$8*($M24:$BT24=""))+COUNTIF($M24:$BT24,"M"))</f>
        <v/>
      </c>
      <c r="G24" s="40">
        <f>IF($B24="","",IFERROR(SUM($M24:$BT24)/SUMPRODUCT($M$7:$BT$7*ISNUMBER($M24:$BT24)),""))</f>
        <v/>
      </c>
      <c r="H24" s="19">
        <f>IF($B24="","",IFERROR(SUMIFS($M24:$BT24,$M$6:$BT$6,H$9)/SUMPRODUCT(($M$6:$BT$6=H$9)*$M$7:$BT$7*(ISNUMBER($M24:$BT24)+($M24:$BT24="M")+(Setup!$B$9="Yes")*$M$8:$BT$8*($M24:$BT24=""))),""))</f>
        <v/>
      </c>
      <c r="I24" s="19">
        <f>IF($B24="","",IFERROR(SUMIFS($M24:$BT24,$M$6:$BT$6,I$9)/SUMPRODUCT(($M$6:$BT$6=I$9)*$M$7:$BT$7*(ISNUMBER($M24:$BT24)+($M24:$BT24="M")+(Setup!$B$9="Yes")*$M$8:$BT$8*($M24:$BT24=""))),""))</f>
        <v/>
      </c>
      <c r="J24" s="19">
        <f>IF($B24="","",IFERROR(SUMIFS($M24:$BT24,$M$6:$BT$6,J$9)/SUMPRODUCT(($M$6:$BT$6=J$9)*$M$7:$BT$7*(ISNUMBER($M24:$BT24)+($M24:$BT24="M")+(Setup!$B$9="Yes")*$M$8:$BT$8*($M24:$BT24=""))),""))</f>
        <v/>
      </c>
      <c r="K24" s="19">
        <f>IF($B24="","",IFERROR(SUMIFS($M24:$BT24,$M$6:$BT$6,K$9)/SUMPRODUCT(($M$6:$BT$6=K$9)*$M$7:$BT$7*(ISNUMBER($M24:$BT24)+($M24:$BT24="M")+(Setup!$B$9="Yes")*$M$8:$BT$8*($M24:$BT24=""))),""))</f>
        <v/>
      </c>
      <c r="L24" s="19">
        <f>IF($B24="","",IFERROR(SUMIFS($M24:$BT24,$M$6:$BT$6,L$9)/SUMPRODUCT(($M$6:$BT$6=L$9)*$M$7:$BT$7*(ISNUMBER($M24:$BT24)+($M24:$BT24="M")+(Setup!$B$9="Yes")*$M$8:$BT$8*($M24:$BT24=""))),""))</f>
        <v/>
      </c>
      <c r="M24" s="56" t="n">
        <v>8.300000000000001</v>
      </c>
      <c r="N24" s="56" t="n">
        <v>9.300000000000001</v>
      </c>
      <c r="O24" s="56" t="n">
        <v>21</v>
      </c>
      <c r="P24" s="56" t="n">
        <v>9.6</v>
      </c>
      <c r="Q24" s="56" t="inlineStr">
        <is>
          <t>M</t>
        </is>
      </c>
      <c r="R24" s="56" t="n">
        <v>9.1</v>
      </c>
      <c r="S24" s="56" t="n">
        <v>9.1</v>
      </c>
      <c r="T24" s="56" t="n"/>
      <c r="U24" s="56" t="n">
        <v>8.1</v>
      </c>
      <c r="V24" s="56" t="n">
        <v>88</v>
      </c>
      <c r="W24" s="56" t="n">
        <v>9.5</v>
      </c>
      <c r="X24" s="56" t="n">
        <v>7.8</v>
      </c>
      <c r="Y24" s="56" t="n">
        <v>23</v>
      </c>
      <c r="Z24" s="56" t="n"/>
      <c r="AA24" s="56" t="n"/>
      <c r="AB24" s="56" t="n"/>
      <c r="AC24" s="56" t="n"/>
      <c r="AD24" s="56" t="n"/>
      <c r="AE24" s="56" t="n"/>
      <c r="AF24" s="56" t="n"/>
      <c r="AG24" s="56" t="n"/>
      <c r="AH24" s="56" t="n"/>
      <c r="AI24" s="56" t="n"/>
      <c r="AJ24" s="56" t="n"/>
      <c r="AK24" s="56" t="n"/>
      <c r="AL24" s="56" t="n"/>
      <c r="AM24" s="56" t="n"/>
      <c r="AN24" s="56" t="n"/>
      <c r="AO24" s="56" t="n"/>
      <c r="AP24" s="56" t="n"/>
      <c r="AQ24" s="56" t="n"/>
      <c r="AR24" s="56" t="n"/>
      <c r="AS24" s="56" t="n"/>
      <c r="AT24" s="56" t="n"/>
      <c r="AU24" s="56" t="n"/>
      <c r="AV24" s="56" t="n"/>
      <c r="AW24" s="56" t="n"/>
      <c r="AX24" s="56" t="n"/>
      <c r="AY24" s="56" t="n"/>
      <c r="AZ24" s="56" t="n"/>
      <c r="BA24" s="56" t="n"/>
      <c r="BB24" s="56" t="n"/>
      <c r="BC24" s="56" t="n"/>
      <c r="BD24" s="56" t="n"/>
      <c r="BE24" s="56" t="n"/>
      <c r="BF24" s="56" t="n"/>
      <c r="BG24" s="56" t="n"/>
      <c r="BH24" s="56" t="n"/>
      <c r="BI24" s="56" t="n"/>
      <c r="BJ24" s="56" t="n"/>
      <c r="BK24" s="56" t="n"/>
      <c r="BL24" s="56" t="n"/>
      <c r="BM24" s="56" t="n"/>
      <c r="BN24" s="56" t="n"/>
      <c r="BO24" s="56" t="n"/>
      <c r="BP24" s="56" t="n"/>
      <c r="BQ24" s="56" t="n"/>
      <c r="BR24" s="56" t="n"/>
      <c r="BS24" s="56" t="n"/>
      <c r="BT24" s="56" t="n"/>
    </row>
    <row r="25">
      <c r="A25" s="17" t="n">
        <v>16</v>
      </c>
      <c r="B25" s="53">
        <f>IF(Roster!B21="","",Roster!B21)</f>
        <v/>
      </c>
      <c r="C25" s="54">
        <f>IF($B25="","",IFERROR(SUMPRODUCT($H$3:$L$3,H25:L25)/SUMPRODUCT($H$3:$L$3,--ISNUMBER(H25:L25)),""))</f>
        <v/>
      </c>
      <c r="D25" s="55">
        <f>IF(C25="","",VLOOKUP(C25,Setup!$D$12:$E$23,2,TRUE))</f>
        <v/>
      </c>
      <c r="E25" s="40">
        <f>IF($B25="","",IFERROR(SUMPRODUCT($M$8:$BT$8*ISNUMBER($M25:$BT25))/SUMPRODUCT($M$8:$BT$8*($M25:$BT25&lt;&gt;"EX")),""))</f>
        <v/>
      </c>
      <c r="F25" s="34">
        <f>IF($B25="","",SUMPRODUCT($M$8:$BT$8*($M25:$BT25=""))+COUNTIF($M25:$BT25,"M"))</f>
        <v/>
      </c>
      <c r="G25" s="40">
        <f>IF($B25="","",IFERROR(SUM($M25:$BT25)/SUMPRODUCT($M$7:$BT$7*ISNUMBER($M25:$BT25)),""))</f>
        <v/>
      </c>
      <c r="H25" s="19">
        <f>IF($B25="","",IFERROR(SUMIFS($M25:$BT25,$M$6:$BT$6,H$9)/SUMPRODUCT(($M$6:$BT$6=H$9)*$M$7:$BT$7*(ISNUMBER($M25:$BT25)+($M25:$BT25="M")+(Setup!$B$9="Yes")*$M$8:$BT$8*($M25:$BT25=""))),""))</f>
        <v/>
      </c>
      <c r="I25" s="19">
        <f>IF($B25="","",IFERROR(SUMIFS($M25:$BT25,$M$6:$BT$6,I$9)/SUMPRODUCT(($M$6:$BT$6=I$9)*$M$7:$BT$7*(ISNUMBER($M25:$BT25)+($M25:$BT25="M")+(Setup!$B$9="Yes")*$M$8:$BT$8*($M25:$BT25=""))),""))</f>
        <v/>
      </c>
      <c r="J25" s="19">
        <f>IF($B25="","",IFERROR(SUMIFS($M25:$BT25,$M$6:$BT$6,J$9)/SUMPRODUCT(($M$6:$BT$6=J$9)*$M$7:$BT$7*(ISNUMBER($M25:$BT25)+($M25:$BT25="M")+(Setup!$B$9="Yes")*$M$8:$BT$8*($M25:$BT25=""))),""))</f>
        <v/>
      </c>
      <c r="K25" s="19">
        <f>IF($B25="","",IFERROR(SUMIFS($M25:$BT25,$M$6:$BT$6,K$9)/SUMPRODUCT(($M$6:$BT$6=K$9)*$M$7:$BT$7*(ISNUMBER($M25:$BT25)+($M25:$BT25="M")+(Setup!$B$9="Yes")*$M$8:$BT$8*($M25:$BT25=""))),""))</f>
        <v/>
      </c>
      <c r="L25" s="19">
        <f>IF($B25="","",IFERROR(SUMIFS($M25:$BT25,$M$6:$BT$6,L$9)/SUMPRODUCT(($M$6:$BT$6=L$9)*$M$7:$BT$7*(ISNUMBER($M25:$BT25)+($M25:$BT25="M")+(Setup!$B$9="Yes")*$M$8:$BT$8*($M25:$BT25=""))),""))</f>
        <v/>
      </c>
      <c r="M25" s="56" t="n">
        <v>9.5</v>
      </c>
      <c r="N25" s="56" t="n">
        <v>8.199999999999999</v>
      </c>
      <c r="O25" s="56" t="n">
        <v>18</v>
      </c>
      <c r="P25" s="56" t="n">
        <v>8.9</v>
      </c>
      <c r="Q25" s="56" t="n">
        <v>81</v>
      </c>
      <c r="R25" s="56" t="n">
        <v>8.800000000000001</v>
      </c>
      <c r="S25" s="56" t="n"/>
      <c r="T25" s="56" t="n">
        <v>21</v>
      </c>
      <c r="U25" s="56" t="n">
        <v>7.9</v>
      </c>
      <c r="V25" s="56" t="n"/>
      <c r="W25" s="56" t="n"/>
      <c r="X25" s="56" t="inlineStr">
        <is>
          <t>M</t>
        </is>
      </c>
      <c r="Y25" s="56" t="n">
        <v>23</v>
      </c>
      <c r="Z25" s="56" t="n"/>
      <c r="AA25" s="56" t="n"/>
      <c r="AB25" s="56" t="n"/>
      <c r="AC25" s="56" t="n"/>
      <c r="AD25" s="56" t="n"/>
      <c r="AE25" s="56" t="n"/>
      <c r="AF25" s="56" t="n"/>
      <c r="AG25" s="56" t="n"/>
      <c r="AH25" s="56" t="n"/>
      <c r="AI25" s="56" t="n"/>
      <c r="AJ25" s="56" t="n"/>
      <c r="AK25" s="56" t="n"/>
      <c r="AL25" s="56" t="n"/>
      <c r="AM25" s="56" t="n"/>
      <c r="AN25" s="56" t="n"/>
      <c r="AO25" s="56" t="n"/>
      <c r="AP25" s="56" t="n"/>
      <c r="AQ25" s="56" t="n"/>
      <c r="AR25" s="56" t="n"/>
      <c r="AS25" s="56" t="n"/>
      <c r="AT25" s="56" t="n"/>
      <c r="AU25" s="56" t="n"/>
      <c r="AV25" s="56" t="n"/>
      <c r="AW25" s="56" t="n"/>
      <c r="AX25" s="56" t="n"/>
      <c r="AY25" s="56" t="n"/>
      <c r="AZ25" s="56" t="n"/>
      <c r="BA25" s="56" t="n"/>
      <c r="BB25" s="56" t="n"/>
      <c r="BC25" s="56" t="n"/>
      <c r="BD25" s="56" t="n"/>
      <c r="BE25" s="56" t="n"/>
      <c r="BF25" s="56" t="n"/>
      <c r="BG25" s="56" t="n"/>
      <c r="BH25" s="56" t="n"/>
      <c r="BI25" s="56" t="n"/>
      <c r="BJ25" s="56" t="n"/>
      <c r="BK25" s="56" t="n"/>
      <c r="BL25" s="56" t="n"/>
      <c r="BM25" s="56" t="n"/>
      <c r="BN25" s="56" t="n"/>
      <c r="BO25" s="56" t="n"/>
      <c r="BP25" s="56" t="n"/>
      <c r="BQ25" s="56" t="n"/>
      <c r="BR25" s="56" t="n"/>
      <c r="BS25" s="56" t="n"/>
      <c r="BT25" s="56" t="n"/>
    </row>
    <row r="26">
      <c r="A26" s="17" t="n">
        <v>17</v>
      </c>
      <c r="B26" s="53">
        <f>IF(Roster!B22="","",Roster!B22)</f>
        <v/>
      </c>
      <c r="C26" s="54">
        <f>IF($B26="","",IFERROR(SUMPRODUCT($H$3:$L$3,H26:L26)/SUMPRODUCT($H$3:$L$3,--ISNUMBER(H26:L26)),""))</f>
        <v/>
      </c>
      <c r="D26" s="55">
        <f>IF(C26="","",VLOOKUP(C26,Setup!$D$12:$E$23,2,TRUE))</f>
        <v/>
      </c>
      <c r="E26" s="40">
        <f>IF($B26="","",IFERROR(SUMPRODUCT($M$8:$BT$8*ISNUMBER($M26:$BT26))/SUMPRODUCT($M$8:$BT$8*($M26:$BT26&lt;&gt;"EX")),""))</f>
        <v/>
      </c>
      <c r="F26" s="34">
        <f>IF($B26="","",SUMPRODUCT($M$8:$BT$8*($M26:$BT26=""))+COUNTIF($M26:$BT26,"M"))</f>
        <v/>
      </c>
      <c r="G26" s="40">
        <f>IF($B26="","",IFERROR(SUM($M26:$BT26)/SUMPRODUCT($M$7:$BT$7*ISNUMBER($M26:$BT26)),""))</f>
        <v/>
      </c>
      <c r="H26" s="19">
        <f>IF($B26="","",IFERROR(SUMIFS($M26:$BT26,$M$6:$BT$6,H$9)/SUMPRODUCT(($M$6:$BT$6=H$9)*$M$7:$BT$7*(ISNUMBER($M26:$BT26)+($M26:$BT26="M")+(Setup!$B$9="Yes")*$M$8:$BT$8*($M26:$BT26=""))),""))</f>
        <v/>
      </c>
      <c r="I26" s="19">
        <f>IF($B26="","",IFERROR(SUMIFS($M26:$BT26,$M$6:$BT$6,I$9)/SUMPRODUCT(($M$6:$BT$6=I$9)*$M$7:$BT$7*(ISNUMBER($M26:$BT26)+($M26:$BT26="M")+(Setup!$B$9="Yes")*$M$8:$BT$8*($M26:$BT26=""))),""))</f>
        <v/>
      </c>
      <c r="J26" s="19">
        <f>IF($B26="","",IFERROR(SUMIFS($M26:$BT26,$M$6:$BT$6,J$9)/SUMPRODUCT(($M$6:$BT$6=J$9)*$M$7:$BT$7*(ISNUMBER($M26:$BT26)+($M26:$BT26="M")+(Setup!$B$9="Yes")*$M$8:$BT$8*($M26:$BT26=""))),""))</f>
        <v/>
      </c>
      <c r="K26" s="19">
        <f>IF($B26="","",IFERROR(SUMIFS($M26:$BT26,$M$6:$BT$6,K$9)/SUMPRODUCT(($M$6:$BT$6=K$9)*$M$7:$BT$7*(ISNUMBER($M26:$BT26)+($M26:$BT26="M")+(Setup!$B$9="Yes")*$M$8:$BT$8*($M26:$BT26=""))),""))</f>
        <v/>
      </c>
      <c r="L26" s="19">
        <f>IF($B26="","",IFERROR(SUMIFS($M26:$BT26,$M$6:$BT$6,L$9)/SUMPRODUCT(($M$6:$BT$6=L$9)*$M$7:$BT$7*(ISNUMBER($M26:$BT26)+($M26:$BT26="M")+(Setup!$B$9="Yes")*$M$8:$BT$8*($M26:$BT26=""))),""))</f>
        <v/>
      </c>
      <c r="M26" s="56" t="n">
        <v>8.6</v>
      </c>
      <c r="N26" s="56" t="n">
        <v>9.4</v>
      </c>
      <c r="O26" s="56" t="n">
        <v>23</v>
      </c>
      <c r="P26" s="56" t="n">
        <v>8.699999999999999</v>
      </c>
      <c r="Q26" s="56" t="n">
        <v>100</v>
      </c>
      <c r="R26" s="56" t="n">
        <v>9.699999999999999</v>
      </c>
      <c r="S26" s="56" t="n">
        <v>9.1</v>
      </c>
      <c r="T26" s="56" t="n">
        <v>21</v>
      </c>
      <c r="U26" s="56" t="n">
        <v>9.300000000000001</v>
      </c>
      <c r="V26" s="56" t="n">
        <v>82</v>
      </c>
      <c r="W26" s="56" t="n">
        <v>9.300000000000001</v>
      </c>
      <c r="X26" s="56" t="n">
        <v>9.9</v>
      </c>
      <c r="Y26" s="56" t="n">
        <v>22</v>
      </c>
      <c r="Z26" s="56" t="n"/>
      <c r="AA26" s="56" t="n"/>
      <c r="AB26" s="56" t="n"/>
      <c r="AC26" s="56" t="n"/>
      <c r="AD26" s="56" t="n"/>
      <c r="AE26" s="56" t="n"/>
      <c r="AF26" s="56" t="n"/>
      <c r="AG26" s="56" t="n"/>
      <c r="AH26" s="56" t="n"/>
      <c r="AI26" s="56" t="n"/>
      <c r="AJ26" s="56" t="n"/>
      <c r="AK26" s="56" t="n"/>
      <c r="AL26" s="56" t="n"/>
      <c r="AM26" s="56" t="n"/>
      <c r="AN26" s="56" t="n"/>
      <c r="AO26" s="56" t="n"/>
      <c r="AP26" s="56" t="n"/>
      <c r="AQ26" s="56" t="n"/>
      <c r="AR26" s="56" t="n"/>
      <c r="AS26" s="56" t="n"/>
      <c r="AT26" s="56" t="n"/>
      <c r="AU26" s="56" t="n"/>
      <c r="AV26" s="56" t="n"/>
      <c r="AW26" s="56" t="n"/>
      <c r="AX26" s="56" t="n"/>
      <c r="AY26" s="56" t="n"/>
      <c r="AZ26" s="56" t="n"/>
      <c r="BA26" s="56" t="n"/>
      <c r="BB26" s="56" t="n"/>
      <c r="BC26" s="56" t="n"/>
      <c r="BD26" s="56" t="n"/>
      <c r="BE26" s="56" t="n"/>
      <c r="BF26" s="56" t="n"/>
      <c r="BG26" s="56" t="n"/>
      <c r="BH26" s="56" t="n"/>
      <c r="BI26" s="56" t="n"/>
      <c r="BJ26" s="56" t="n"/>
      <c r="BK26" s="56" t="n"/>
      <c r="BL26" s="56" t="n"/>
      <c r="BM26" s="56" t="n"/>
      <c r="BN26" s="56" t="n"/>
      <c r="BO26" s="56" t="n"/>
      <c r="BP26" s="56" t="n"/>
      <c r="BQ26" s="56" t="n"/>
      <c r="BR26" s="56" t="n"/>
      <c r="BS26" s="56" t="n"/>
      <c r="BT26" s="56" t="n"/>
    </row>
    <row r="27">
      <c r="A27" s="17" t="n">
        <v>18</v>
      </c>
      <c r="B27" s="53">
        <f>IF(Roster!B23="","",Roster!B23)</f>
        <v/>
      </c>
      <c r="C27" s="54">
        <f>IF($B27="","",IFERROR(SUMPRODUCT($H$3:$L$3,H27:L27)/SUMPRODUCT($H$3:$L$3,--ISNUMBER(H27:L27)),""))</f>
        <v/>
      </c>
      <c r="D27" s="55">
        <f>IF(C27="","",VLOOKUP(C27,Setup!$D$12:$E$23,2,TRUE))</f>
        <v/>
      </c>
      <c r="E27" s="40">
        <f>IF($B27="","",IFERROR(SUMPRODUCT($M$8:$BT$8*ISNUMBER($M27:$BT27))/SUMPRODUCT($M$8:$BT$8*($M27:$BT27&lt;&gt;"EX")),""))</f>
        <v/>
      </c>
      <c r="F27" s="34">
        <f>IF($B27="","",SUMPRODUCT($M$8:$BT$8*($M27:$BT27=""))+COUNTIF($M27:$BT27,"M"))</f>
        <v/>
      </c>
      <c r="G27" s="40">
        <f>IF($B27="","",IFERROR(SUM($M27:$BT27)/SUMPRODUCT($M$7:$BT$7*ISNUMBER($M27:$BT27)),""))</f>
        <v/>
      </c>
      <c r="H27" s="19">
        <f>IF($B27="","",IFERROR(SUMIFS($M27:$BT27,$M$6:$BT$6,H$9)/SUMPRODUCT(($M$6:$BT$6=H$9)*$M$7:$BT$7*(ISNUMBER($M27:$BT27)+($M27:$BT27="M")+(Setup!$B$9="Yes")*$M$8:$BT$8*($M27:$BT27=""))),""))</f>
        <v/>
      </c>
      <c r="I27" s="19">
        <f>IF($B27="","",IFERROR(SUMIFS($M27:$BT27,$M$6:$BT$6,I$9)/SUMPRODUCT(($M$6:$BT$6=I$9)*$M$7:$BT$7*(ISNUMBER($M27:$BT27)+($M27:$BT27="M")+(Setup!$B$9="Yes")*$M$8:$BT$8*($M27:$BT27=""))),""))</f>
        <v/>
      </c>
      <c r="J27" s="19">
        <f>IF($B27="","",IFERROR(SUMIFS($M27:$BT27,$M$6:$BT$6,J$9)/SUMPRODUCT(($M$6:$BT$6=J$9)*$M$7:$BT$7*(ISNUMBER($M27:$BT27)+($M27:$BT27="M")+(Setup!$B$9="Yes")*$M$8:$BT$8*($M27:$BT27=""))),""))</f>
        <v/>
      </c>
      <c r="K27" s="19">
        <f>IF($B27="","",IFERROR(SUMIFS($M27:$BT27,$M$6:$BT$6,K$9)/SUMPRODUCT(($M$6:$BT$6=K$9)*$M$7:$BT$7*(ISNUMBER($M27:$BT27)+($M27:$BT27="M")+(Setup!$B$9="Yes")*$M$8:$BT$8*($M27:$BT27=""))),""))</f>
        <v/>
      </c>
      <c r="L27" s="19">
        <f>IF($B27="","",IFERROR(SUMIFS($M27:$BT27,$M$6:$BT$6,L$9)/SUMPRODUCT(($M$6:$BT$6=L$9)*$M$7:$BT$7*(ISNUMBER($M27:$BT27)+($M27:$BT27="M")+(Setup!$B$9="Yes")*$M$8:$BT$8*($M27:$BT27=""))),""))</f>
        <v/>
      </c>
      <c r="M27" s="56" t="n">
        <v>8.1</v>
      </c>
      <c r="N27" s="56" t="n">
        <v>8.5</v>
      </c>
      <c r="O27" s="56" t="n">
        <v>17</v>
      </c>
      <c r="P27" s="56" t="inlineStr">
        <is>
          <t>M</t>
        </is>
      </c>
      <c r="Q27" s="56" t="n">
        <v>87</v>
      </c>
      <c r="R27" s="56" t="n">
        <v>8.199999999999999</v>
      </c>
      <c r="S27" s="56" t="n"/>
      <c r="T27" s="56" t="inlineStr">
        <is>
          <t>M</t>
        </is>
      </c>
      <c r="U27" s="56" t="n">
        <v>8.5</v>
      </c>
      <c r="V27" s="56" t="n">
        <v>85</v>
      </c>
      <c r="W27" s="56" t="n">
        <v>8.6</v>
      </c>
      <c r="X27" s="56" t="n">
        <v>7.6</v>
      </c>
      <c r="Y27" s="56" t="n">
        <v>23</v>
      </c>
      <c r="Z27" s="56" t="n"/>
      <c r="AA27" s="56" t="n"/>
      <c r="AB27" s="56" t="n"/>
      <c r="AC27" s="56" t="n"/>
      <c r="AD27" s="56" t="n"/>
      <c r="AE27" s="56" t="n"/>
      <c r="AF27" s="56" t="n"/>
      <c r="AG27" s="56" t="n"/>
      <c r="AH27" s="56" t="n"/>
      <c r="AI27" s="56" t="n"/>
      <c r="AJ27" s="56" t="n"/>
      <c r="AK27" s="56" t="n"/>
      <c r="AL27" s="56" t="n"/>
      <c r="AM27" s="56" t="n"/>
      <c r="AN27" s="56" t="n"/>
      <c r="AO27" s="56" t="n"/>
      <c r="AP27" s="56" t="n"/>
      <c r="AQ27" s="56" t="n"/>
      <c r="AR27" s="56" t="n"/>
      <c r="AS27" s="56" t="n"/>
      <c r="AT27" s="56" t="n"/>
      <c r="AU27" s="56" t="n"/>
      <c r="AV27" s="56" t="n"/>
      <c r="AW27" s="56" t="n"/>
      <c r="AX27" s="56" t="n"/>
      <c r="AY27" s="56" t="n"/>
      <c r="AZ27" s="56" t="n"/>
      <c r="BA27" s="56" t="n"/>
      <c r="BB27" s="56" t="n"/>
      <c r="BC27" s="56" t="n"/>
      <c r="BD27" s="56" t="n"/>
      <c r="BE27" s="56" t="n"/>
      <c r="BF27" s="56" t="n"/>
      <c r="BG27" s="56" t="n"/>
      <c r="BH27" s="56" t="n"/>
      <c r="BI27" s="56" t="n"/>
      <c r="BJ27" s="56" t="n"/>
      <c r="BK27" s="56" t="n"/>
      <c r="BL27" s="56" t="n"/>
      <c r="BM27" s="56" t="n"/>
      <c r="BN27" s="56" t="n"/>
      <c r="BO27" s="56" t="n"/>
      <c r="BP27" s="56" t="n"/>
      <c r="BQ27" s="56" t="n"/>
      <c r="BR27" s="56" t="n"/>
      <c r="BS27" s="56" t="n"/>
      <c r="BT27" s="56" t="n"/>
    </row>
    <row r="28">
      <c r="A28" s="17" t="n">
        <v>19</v>
      </c>
      <c r="B28" s="53">
        <f>IF(Roster!B24="","",Roster!B24)</f>
        <v/>
      </c>
      <c r="C28" s="54">
        <f>IF($B28="","",IFERROR(SUMPRODUCT($H$3:$L$3,H28:L28)/SUMPRODUCT($H$3:$L$3,--ISNUMBER(H28:L28)),""))</f>
        <v/>
      </c>
      <c r="D28" s="55">
        <f>IF(C28="","",VLOOKUP(C28,Setup!$D$12:$E$23,2,TRUE))</f>
        <v/>
      </c>
      <c r="E28" s="40">
        <f>IF($B28="","",IFERROR(SUMPRODUCT($M$8:$BT$8*ISNUMBER($M28:$BT28))/SUMPRODUCT($M$8:$BT$8*($M28:$BT28&lt;&gt;"EX")),""))</f>
        <v/>
      </c>
      <c r="F28" s="34">
        <f>IF($B28="","",SUMPRODUCT($M$8:$BT$8*($M28:$BT28=""))+COUNTIF($M28:$BT28,"M"))</f>
        <v/>
      </c>
      <c r="G28" s="40">
        <f>IF($B28="","",IFERROR(SUM($M28:$BT28)/SUMPRODUCT($M$7:$BT$7*ISNUMBER($M28:$BT28)),""))</f>
        <v/>
      </c>
      <c r="H28" s="19">
        <f>IF($B28="","",IFERROR(SUMIFS($M28:$BT28,$M$6:$BT$6,H$9)/SUMPRODUCT(($M$6:$BT$6=H$9)*$M$7:$BT$7*(ISNUMBER($M28:$BT28)+($M28:$BT28="M")+(Setup!$B$9="Yes")*$M$8:$BT$8*($M28:$BT28=""))),""))</f>
        <v/>
      </c>
      <c r="I28" s="19">
        <f>IF($B28="","",IFERROR(SUMIFS($M28:$BT28,$M$6:$BT$6,I$9)/SUMPRODUCT(($M$6:$BT$6=I$9)*$M$7:$BT$7*(ISNUMBER($M28:$BT28)+($M28:$BT28="M")+(Setup!$B$9="Yes")*$M$8:$BT$8*($M28:$BT28=""))),""))</f>
        <v/>
      </c>
      <c r="J28" s="19">
        <f>IF($B28="","",IFERROR(SUMIFS($M28:$BT28,$M$6:$BT$6,J$9)/SUMPRODUCT(($M$6:$BT$6=J$9)*$M$7:$BT$7*(ISNUMBER($M28:$BT28)+($M28:$BT28="M")+(Setup!$B$9="Yes")*$M$8:$BT$8*($M28:$BT28=""))),""))</f>
        <v/>
      </c>
      <c r="K28" s="19">
        <f>IF($B28="","",IFERROR(SUMIFS($M28:$BT28,$M$6:$BT$6,K$9)/SUMPRODUCT(($M$6:$BT$6=K$9)*$M$7:$BT$7*(ISNUMBER($M28:$BT28)+($M28:$BT28="M")+(Setup!$B$9="Yes")*$M$8:$BT$8*($M28:$BT28=""))),""))</f>
        <v/>
      </c>
      <c r="L28" s="19">
        <f>IF($B28="","",IFERROR(SUMIFS($M28:$BT28,$M$6:$BT$6,L$9)/SUMPRODUCT(($M$6:$BT$6=L$9)*$M$7:$BT$7*(ISNUMBER($M28:$BT28)+($M28:$BT28="M")+(Setup!$B$9="Yes")*$M$8:$BT$8*($M28:$BT28=""))),""))</f>
        <v/>
      </c>
      <c r="M28" s="56" t="n">
        <v>10</v>
      </c>
      <c r="N28" s="56" t="inlineStr">
        <is>
          <t>EX</t>
        </is>
      </c>
      <c r="O28" s="56" t="n">
        <v>23</v>
      </c>
      <c r="P28" s="56" t="inlineStr">
        <is>
          <t>EX</t>
        </is>
      </c>
      <c r="Q28" s="56" t="n">
        <v>94</v>
      </c>
      <c r="R28" s="56" t="n">
        <v>10</v>
      </c>
      <c r="S28" s="56" t="n">
        <v>7.4</v>
      </c>
      <c r="T28" s="56" t="n">
        <v>24</v>
      </c>
      <c r="U28" s="56" t="n">
        <v>9.4</v>
      </c>
      <c r="V28" s="56" t="n">
        <v>87</v>
      </c>
      <c r="W28" s="56" t="n">
        <v>8.5</v>
      </c>
      <c r="X28" s="56" t="n">
        <v>10</v>
      </c>
      <c r="Y28" s="56" t="n">
        <v>21</v>
      </c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56" t="n"/>
      <c r="AI28" s="56" t="n"/>
      <c r="AJ28" s="56" t="n"/>
      <c r="AK28" s="56" t="n"/>
      <c r="AL28" s="56" t="n"/>
      <c r="AM28" s="56" t="n"/>
      <c r="AN28" s="56" t="n"/>
      <c r="AO28" s="56" t="n"/>
      <c r="AP28" s="56" t="n"/>
      <c r="AQ28" s="56" t="n"/>
      <c r="AR28" s="56" t="n"/>
      <c r="AS28" s="56" t="n"/>
      <c r="AT28" s="56" t="n"/>
      <c r="AU28" s="56" t="n"/>
      <c r="AV28" s="56" t="n"/>
      <c r="AW28" s="56" t="n"/>
      <c r="AX28" s="56" t="n"/>
      <c r="AY28" s="56" t="n"/>
      <c r="AZ28" s="56" t="n"/>
      <c r="BA28" s="56" t="n"/>
      <c r="BB28" s="56" t="n"/>
      <c r="BC28" s="56" t="n"/>
      <c r="BD28" s="56" t="n"/>
      <c r="BE28" s="56" t="n"/>
      <c r="BF28" s="56" t="n"/>
      <c r="BG28" s="56" t="n"/>
      <c r="BH28" s="56" t="n"/>
      <c r="BI28" s="56" t="n"/>
      <c r="BJ28" s="56" t="n"/>
      <c r="BK28" s="56" t="n"/>
      <c r="BL28" s="56" t="n"/>
      <c r="BM28" s="56" t="n"/>
      <c r="BN28" s="56" t="n"/>
      <c r="BO28" s="56" t="n"/>
      <c r="BP28" s="56" t="n"/>
      <c r="BQ28" s="56" t="n"/>
      <c r="BR28" s="56" t="n"/>
      <c r="BS28" s="56" t="n"/>
      <c r="BT28" s="56" t="n"/>
    </row>
    <row r="29">
      <c r="A29" s="17" t="n">
        <v>20</v>
      </c>
      <c r="B29" s="53">
        <f>IF(Roster!B25="","",Roster!B25)</f>
        <v/>
      </c>
      <c r="C29" s="54">
        <f>IF($B29="","",IFERROR(SUMPRODUCT($H$3:$L$3,H29:L29)/SUMPRODUCT($H$3:$L$3,--ISNUMBER(H29:L29)),""))</f>
        <v/>
      </c>
      <c r="D29" s="55">
        <f>IF(C29="","",VLOOKUP(C29,Setup!$D$12:$E$23,2,TRUE))</f>
        <v/>
      </c>
      <c r="E29" s="40">
        <f>IF($B29="","",IFERROR(SUMPRODUCT($M$8:$BT$8*ISNUMBER($M29:$BT29))/SUMPRODUCT($M$8:$BT$8*($M29:$BT29&lt;&gt;"EX")),""))</f>
        <v/>
      </c>
      <c r="F29" s="34">
        <f>IF($B29="","",SUMPRODUCT($M$8:$BT$8*($M29:$BT29=""))+COUNTIF($M29:$BT29,"M"))</f>
        <v/>
      </c>
      <c r="G29" s="40">
        <f>IF($B29="","",IFERROR(SUM($M29:$BT29)/SUMPRODUCT($M$7:$BT$7*ISNUMBER($M29:$BT29)),""))</f>
        <v/>
      </c>
      <c r="H29" s="19">
        <f>IF($B29="","",IFERROR(SUMIFS($M29:$BT29,$M$6:$BT$6,H$9)/SUMPRODUCT(($M$6:$BT$6=H$9)*$M$7:$BT$7*(ISNUMBER($M29:$BT29)+($M29:$BT29="M")+(Setup!$B$9="Yes")*$M$8:$BT$8*($M29:$BT29=""))),""))</f>
        <v/>
      </c>
      <c r="I29" s="19">
        <f>IF($B29="","",IFERROR(SUMIFS($M29:$BT29,$M$6:$BT$6,I$9)/SUMPRODUCT(($M$6:$BT$6=I$9)*$M$7:$BT$7*(ISNUMBER($M29:$BT29)+($M29:$BT29="M")+(Setup!$B$9="Yes")*$M$8:$BT$8*($M29:$BT29=""))),""))</f>
        <v/>
      </c>
      <c r="J29" s="19">
        <f>IF($B29="","",IFERROR(SUMIFS($M29:$BT29,$M$6:$BT$6,J$9)/SUMPRODUCT(($M$6:$BT$6=J$9)*$M$7:$BT$7*(ISNUMBER($M29:$BT29)+($M29:$BT29="M")+(Setup!$B$9="Yes")*$M$8:$BT$8*($M29:$BT29=""))),""))</f>
        <v/>
      </c>
      <c r="K29" s="19">
        <f>IF($B29="","",IFERROR(SUMIFS($M29:$BT29,$M$6:$BT$6,K$9)/SUMPRODUCT(($M$6:$BT$6=K$9)*$M$7:$BT$7*(ISNUMBER($M29:$BT29)+($M29:$BT29="M")+(Setup!$B$9="Yes")*$M$8:$BT$8*($M29:$BT29=""))),""))</f>
        <v/>
      </c>
      <c r="L29" s="19">
        <f>IF($B29="","",IFERROR(SUMIFS($M29:$BT29,$M$6:$BT$6,L$9)/SUMPRODUCT(($M$6:$BT$6=L$9)*$M$7:$BT$7*(ISNUMBER($M29:$BT29)+($M29:$BT29="M")+(Setup!$B$9="Yes")*$M$8:$BT$8*($M29:$BT29=""))),""))</f>
        <v/>
      </c>
      <c r="M29" s="56" t="n">
        <v>7.5</v>
      </c>
      <c r="N29" s="56" t="n">
        <v>9.9</v>
      </c>
      <c r="O29" s="56" t="n">
        <v>24</v>
      </c>
      <c r="P29" s="56" t="n">
        <v>7.6</v>
      </c>
      <c r="Q29" s="56" t="n">
        <v>86</v>
      </c>
      <c r="R29" s="56" t="n">
        <v>7.3</v>
      </c>
      <c r="S29" s="56" t="n">
        <v>9</v>
      </c>
      <c r="T29" s="56" t="inlineStr">
        <is>
          <t>M</t>
        </is>
      </c>
      <c r="U29" s="56" t="n">
        <v>8.699999999999999</v>
      </c>
      <c r="V29" s="56" t="n">
        <v>87</v>
      </c>
      <c r="W29" s="56" t="n">
        <v>6.6</v>
      </c>
      <c r="X29" s="56" t="n">
        <v>7.3</v>
      </c>
      <c r="Y29" s="56" t="n">
        <v>22</v>
      </c>
      <c r="Z29" s="56" t="n"/>
      <c r="AA29" s="56" t="n"/>
      <c r="AB29" s="56" t="n"/>
      <c r="AC29" s="56" t="n"/>
      <c r="AD29" s="56" t="n"/>
      <c r="AE29" s="56" t="n"/>
      <c r="AF29" s="56" t="n"/>
      <c r="AG29" s="56" t="n"/>
      <c r="AH29" s="56" t="n"/>
      <c r="AI29" s="56" t="n"/>
      <c r="AJ29" s="56" t="n"/>
      <c r="AK29" s="56" t="n"/>
      <c r="AL29" s="56" t="n"/>
      <c r="AM29" s="56" t="n"/>
      <c r="AN29" s="56" t="n"/>
      <c r="AO29" s="56" t="n"/>
      <c r="AP29" s="56" t="n"/>
      <c r="AQ29" s="56" t="n"/>
      <c r="AR29" s="56" t="n"/>
      <c r="AS29" s="56" t="n"/>
      <c r="AT29" s="56" t="n"/>
      <c r="AU29" s="56" t="n"/>
      <c r="AV29" s="56" t="n"/>
      <c r="AW29" s="56" t="n"/>
      <c r="AX29" s="56" t="n"/>
      <c r="AY29" s="56" t="n"/>
      <c r="AZ29" s="56" t="n"/>
      <c r="BA29" s="56" t="n"/>
      <c r="BB29" s="56" t="n"/>
      <c r="BC29" s="56" t="n"/>
      <c r="BD29" s="56" t="n"/>
      <c r="BE29" s="56" t="n"/>
      <c r="BF29" s="56" t="n"/>
      <c r="BG29" s="56" t="n"/>
      <c r="BH29" s="56" t="n"/>
      <c r="BI29" s="56" t="n"/>
      <c r="BJ29" s="56" t="n"/>
      <c r="BK29" s="56" t="n"/>
      <c r="BL29" s="56" t="n"/>
      <c r="BM29" s="56" t="n"/>
      <c r="BN29" s="56" t="n"/>
      <c r="BO29" s="56" t="n"/>
      <c r="BP29" s="56" t="n"/>
      <c r="BQ29" s="56" t="n"/>
      <c r="BR29" s="56" t="n"/>
      <c r="BS29" s="56" t="n"/>
      <c r="BT29" s="56" t="n"/>
    </row>
    <row r="30">
      <c r="A30" s="17" t="n">
        <v>21</v>
      </c>
      <c r="B30" s="53">
        <f>IF(Roster!B26="","",Roster!B26)</f>
        <v/>
      </c>
      <c r="C30" s="54">
        <f>IF($B30="","",IFERROR(SUMPRODUCT($H$3:$L$3,H30:L30)/SUMPRODUCT($H$3:$L$3,--ISNUMBER(H30:L30)),""))</f>
        <v/>
      </c>
      <c r="D30" s="55">
        <f>IF(C30="","",VLOOKUP(C30,Setup!$D$12:$E$23,2,TRUE))</f>
        <v/>
      </c>
      <c r="E30" s="40">
        <f>IF($B30="","",IFERROR(SUMPRODUCT($M$8:$BT$8*ISNUMBER($M30:$BT30))/SUMPRODUCT($M$8:$BT$8*($M30:$BT30&lt;&gt;"EX")),""))</f>
        <v/>
      </c>
      <c r="F30" s="34">
        <f>IF($B30="","",SUMPRODUCT($M$8:$BT$8*($M30:$BT30=""))+COUNTIF($M30:$BT30,"M"))</f>
        <v/>
      </c>
      <c r="G30" s="40">
        <f>IF($B30="","",IFERROR(SUM($M30:$BT30)/SUMPRODUCT($M$7:$BT$7*ISNUMBER($M30:$BT30)),""))</f>
        <v/>
      </c>
      <c r="H30" s="19">
        <f>IF($B30="","",IFERROR(SUMIFS($M30:$BT30,$M$6:$BT$6,H$9)/SUMPRODUCT(($M$6:$BT$6=H$9)*$M$7:$BT$7*(ISNUMBER($M30:$BT30)+($M30:$BT30="M")+(Setup!$B$9="Yes")*$M$8:$BT$8*($M30:$BT30=""))),""))</f>
        <v/>
      </c>
      <c r="I30" s="19">
        <f>IF($B30="","",IFERROR(SUMIFS($M30:$BT30,$M$6:$BT$6,I$9)/SUMPRODUCT(($M$6:$BT$6=I$9)*$M$7:$BT$7*(ISNUMBER($M30:$BT30)+($M30:$BT30="M")+(Setup!$B$9="Yes")*$M$8:$BT$8*($M30:$BT30=""))),""))</f>
        <v/>
      </c>
      <c r="J30" s="19">
        <f>IF($B30="","",IFERROR(SUMIFS($M30:$BT30,$M$6:$BT$6,J$9)/SUMPRODUCT(($M$6:$BT$6=J$9)*$M$7:$BT$7*(ISNUMBER($M30:$BT30)+($M30:$BT30="M")+(Setup!$B$9="Yes")*$M$8:$BT$8*($M30:$BT30=""))),""))</f>
        <v/>
      </c>
      <c r="K30" s="19">
        <f>IF($B30="","",IFERROR(SUMIFS($M30:$BT30,$M$6:$BT$6,K$9)/SUMPRODUCT(($M$6:$BT$6=K$9)*$M$7:$BT$7*(ISNUMBER($M30:$BT30)+($M30:$BT30="M")+(Setup!$B$9="Yes")*$M$8:$BT$8*($M30:$BT30=""))),""))</f>
        <v/>
      </c>
      <c r="L30" s="19">
        <f>IF($B30="","",IFERROR(SUMIFS($M30:$BT30,$M$6:$BT$6,L$9)/SUMPRODUCT(($M$6:$BT$6=L$9)*$M$7:$BT$7*(ISNUMBER($M30:$BT30)+($M30:$BT30="M")+(Setup!$B$9="Yes")*$M$8:$BT$8*($M30:$BT30=""))),""))</f>
        <v/>
      </c>
      <c r="M30" s="56" t="n">
        <v>8.699999999999999</v>
      </c>
      <c r="N30" s="56" t="n">
        <v>8.5</v>
      </c>
      <c r="O30" s="56" t="n">
        <v>23</v>
      </c>
      <c r="P30" s="56" t="n">
        <v>8.699999999999999</v>
      </c>
      <c r="Q30" s="56" t="n">
        <v>90</v>
      </c>
      <c r="R30" s="56" t="n">
        <v>8.300000000000001</v>
      </c>
      <c r="S30" s="56" t="n">
        <v>8</v>
      </c>
      <c r="T30" s="56" t="n">
        <v>20</v>
      </c>
      <c r="U30" s="56" t="n">
        <v>8.4</v>
      </c>
      <c r="V30" s="56" t="n">
        <v>89</v>
      </c>
      <c r="W30" s="56" t="n">
        <v>10</v>
      </c>
      <c r="X30" s="56" t="n">
        <v>9.1</v>
      </c>
      <c r="Y30" s="56" t="n">
        <v>23</v>
      </c>
      <c r="Z30" s="56" t="n"/>
      <c r="AA30" s="56" t="n"/>
      <c r="AB30" s="56" t="n"/>
      <c r="AC30" s="56" t="n"/>
      <c r="AD30" s="56" t="n"/>
      <c r="AE30" s="56" t="n"/>
      <c r="AF30" s="56" t="n"/>
      <c r="AG30" s="56" t="n"/>
      <c r="AH30" s="56" t="n"/>
      <c r="AI30" s="56" t="n"/>
      <c r="AJ30" s="56" t="n"/>
      <c r="AK30" s="56" t="n"/>
      <c r="AL30" s="56" t="n"/>
      <c r="AM30" s="56" t="n"/>
      <c r="AN30" s="56" t="n"/>
      <c r="AO30" s="56" t="n"/>
      <c r="AP30" s="56" t="n"/>
      <c r="AQ30" s="56" t="n"/>
      <c r="AR30" s="56" t="n"/>
      <c r="AS30" s="56" t="n"/>
      <c r="AT30" s="56" t="n"/>
      <c r="AU30" s="56" t="n"/>
      <c r="AV30" s="56" t="n"/>
      <c r="AW30" s="56" t="n"/>
      <c r="AX30" s="56" t="n"/>
      <c r="AY30" s="56" t="n"/>
      <c r="AZ30" s="56" t="n"/>
      <c r="BA30" s="56" t="n"/>
      <c r="BB30" s="56" t="n"/>
      <c r="BC30" s="56" t="n"/>
      <c r="BD30" s="56" t="n"/>
      <c r="BE30" s="56" t="n"/>
      <c r="BF30" s="56" t="n"/>
      <c r="BG30" s="56" t="n"/>
      <c r="BH30" s="56" t="n"/>
      <c r="BI30" s="56" t="n"/>
      <c r="BJ30" s="56" t="n"/>
      <c r="BK30" s="56" t="n"/>
      <c r="BL30" s="56" t="n"/>
      <c r="BM30" s="56" t="n"/>
      <c r="BN30" s="56" t="n"/>
      <c r="BO30" s="56" t="n"/>
      <c r="BP30" s="56" t="n"/>
      <c r="BQ30" s="56" t="n"/>
      <c r="BR30" s="56" t="n"/>
      <c r="BS30" s="56" t="n"/>
      <c r="BT30" s="56" t="n"/>
    </row>
    <row r="31">
      <c r="A31" s="17" t="n">
        <v>22</v>
      </c>
      <c r="B31" s="53">
        <f>IF(Roster!B27="","",Roster!B27)</f>
        <v/>
      </c>
      <c r="C31" s="54">
        <f>IF($B31="","",IFERROR(SUMPRODUCT($H$3:$L$3,H31:L31)/SUMPRODUCT($H$3:$L$3,--ISNUMBER(H31:L31)),""))</f>
        <v/>
      </c>
      <c r="D31" s="55">
        <f>IF(C31="","",VLOOKUP(C31,Setup!$D$12:$E$23,2,TRUE))</f>
        <v/>
      </c>
      <c r="E31" s="40">
        <f>IF($B31="","",IFERROR(SUMPRODUCT($M$8:$BT$8*ISNUMBER($M31:$BT31))/SUMPRODUCT($M$8:$BT$8*($M31:$BT31&lt;&gt;"EX")),""))</f>
        <v/>
      </c>
      <c r="F31" s="34">
        <f>IF($B31="","",SUMPRODUCT($M$8:$BT$8*($M31:$BT31=""))+COUNTIF($M31:$BT31,"M"))</f>
        <v/>
      </c>
      <c r="G31" s="40">
        <f>IF($B31="","",IFERROR(SUM($M31:$BT31)/SUMPRODUCT($M$7:$BT$7*ISNUMBER($M31:$BT31)),""))</f>
        <v/>
      </c>
      <c r="H31" s="19">
        <f>IF($B31="","",IFERROR(SUMIFS($M31:$BT31,$M$6:$BT$6,H$9)/SUMPRODUCT(($M$6:$BT$6=H$9)*$M$7:$BT$7*(ISNUMBER($M31:$BT31)+($M31:$BT31="M")+(Setup!$B$9="Yes")*$M$8:$BT$8*($M31:$BT31=""))),""))</f>
        <v/>
      </c>
      <c r="I31" s="19">
        <f>IF($B31="","",IFERROR(SUMIFS($M31:$BT31,$M$6:$BT$6,I$9)/SUMPRODUCT(($M$6:$BT$6=I$9)*$M$7:$BT$7*(ISNUMBER($M31:$BT31)+($M31:$BT31="M")+(Setup!$B$9="Yes")*$M$8:$BT$8*($M31:$BT31=""))),""))</f>
        <v/>
      </c>
      <c r="J31" s="19">
        <f>IF($B31="","",IFERROR(SUMIFS($M31:$BT31,$M$6:$BT$6,J$9)/SUMPRODUCT(($M$6:$BT$6=J$9)*$M$7:$BT$7*(ISNUMBER($M31:$BT31)+($M31:$BT31="M")+(Setup!$B$9="Yes")*$M$8:$BT$8*($M31:$BT31=""))),""))</f>
        <v/>
      </c>
      <c r="K31" s="19">
        <f>IF($B31="","",IFERROR(SUMIFS($M31:$BT31,$M$6:$BT$6,K$9)/SUMPRODUCT(($M$6:$BT$6=K$9)*$M$7:$BT$7*(ISNUMBER($M31:$BT31)+($M31:$BT31="M")+(Setup!$B$9="Yes")*$M$8:$BT$8*($M31:$BT31=""))),""))</f>
        <v/>
      </c>
      <c r="L31" s="19">
        <f>IF($B31="","",IFERROR(SUMIFS($M31:$BT31,$M$6:$BT$6,L$9)/SUMPRODUCT(($M$6:$BT$6=L$9)*$M$7:$BT$7*(ISNUMBER($M31:$BT31)+($M31:$BT31="M")+(Setup!$B$9="Yes")*$M$8:$BT$8*($M31:$BT31=""))),""))</f>
        <v/>
      </c>
      <c r="M31" s="56" t="n">
        <v>9.9</v>
      </c>
      <c r="N31" s="56" t="n">
        <v>8.800000000000001</v>
      </c>
      <c r="O31" s="56" t="n">
        <v>25</v>
      </c>
      <c r="P31" s="56" t="n">
        <v>10</v>
      </c>
      <c r="Q31" s="56" t="n">
        <v>94</v>
      </c>
      <c r="R31" s="56" t="n">
        <v>9.6</v>
      </c>
      <c r="S31" s="56" t="n">
        <v>9.1</v>
      </c>
      <c r="T31" s="56" t="inlineStr">
        <is>
          <t>M</t>
        </is>
      </c>
      <c r="U31" s="56" t="n">
        <v>9</v>
      </c>
      <c r="V31" s="56" t="n">
        <v>100</v>
      </c>
      <c r="W31" s="56" t="n">
        <v>10</v>
      </c>
      <c r="X31" s="56" t="n">
        <v>9.699999999999999</v>
      </c>
      <c r="Y31" s="56" t="n">
        <v>21</v>
      </c>
      <c r="Z31" s="56" t="n"/>
      <c r="AA31" s="56" t="n"/>
      <c r="AB31" s="56" t="n"/>
      <c r="AC31" s="56" t="n"/>
      <c r="AD31" s="56" t="n"/>
      <c r="AE31" s="56" t="n"/>
      <c r="AF31" s="56" t="n"/>
      <c r="AG31" s="56" t="n"/>
      <c r="AH31" s="56" t="n"/>
      <c r="AI31" s="56" t="n"/>
      <c r="AJ31" s="56" t="n"/>
      <c r="AK31" s="56" t="n"/>
      <c r="AL31" s="56" t="n"/>
      <c r="AM31" s="56" t="n"/>
      <c r="AN31" s="56" t="n"/>
      <c r="AO31" s="56" t="n"/>
      <c r="AP31" s="56" t="n"/>
      <c r="AQ31" s="56" t="n"/>
      <c r="AR31" s="56" t="n"/>
      <c r="AS31" s="56" t="n"/>
      <c r="AT31" s="56" t="n"/>
      <c r="AU31" s="56" t="n"/>
      <c r="AV31" s="56" t="n"/>
      <c r="AW31" s="56" t="n"/>
      <c r="AX31" s="56" t="n"/>
      <c r="AY31" s="56" t="n"/>
      <c r="AZ31" s="56" t="n"/>
      <c r="BA31" s="56" t="n"/>
      <c r="BB31" s="56" t="n"/>
      <c r="BC31" s="56" t="n"/>
      <c r="BD31" s="56" t="n"/>
      <c r="BE31" s="56" t="n"/>
      <c r="BF31" s="56" t="n"/>
      <c r="BG31" s="56" t="n"/>
      <c r="BH31" s="56" t="n"/>
      <c r="BI31" s="56" t="n"/>
      <c r="BJ31" s="56" t="n"/>
      <c r="BK31" s="56" t="n"/>
      <c r="BL31" s="56" t="n"/>
      <c r="BM31" s="56" t="n"/>
      <c r="BN31" s="56" t="n"/>
      <c r="BO31" s="56" t="n"/>
      <c r="BP31" s="56" t="n"/>
      <c r="BQ31" s="56" t="n"/>
      <c r="BR31" s="56" t="n"/>
      <c r="BS31" s="56" t="n"/>
      <c r="BT31" s="56" t="n"/>
    </row>
    <row r="32">
      <c r="A32" s="17" t="n">
        <v>23</v>
      </c>
      <c r="B32" s="53">
        <f>IF(Roster!B28="","",Roster!B28)</f>
        <v/>
      </c>
      <c r="C32" s="54">
        <f>IF($B32="","",IFERROR(SUMPRODUCT($H$3:$L$3,H32:L32)/SUMPRODUCT($H$3:$L$3,--ISNUMBER(H32:L32)),""))</f>
        <v/>
      </c>
      <c r="D32" s="55">
        <f>IF(C32="","",VLOOKUP(C32,Setup!$D$12:$E$23,2,TRUE))</f>
        <v/>
      </c>
      <c r="E32" s="40">
        <f>IF($B32="","",IFERROR(SUMPRODUCT($M$8:$BT$8*ISNUMBER($M32:$BT32))/SUMPRODUCT($M$8:$BT$8*($M32:$BT32&lt;&gt;"EX")),""))</f>
        <v/>
      </c>
      <c r="F32" s="34">
        <f>IF($B32="","",SUMPRODUCT($M$8:$BT$8*($M32:$BT32=""))+COUNTIF($M32:$BT32,"M"))</f>
        <v/>
      </c>
      <c r="G32" s="40">
        <f>IF($B32="","",IFERROR(SUM($M32:$BT32)/SUMPRODUCT($M$7:$BT$7*ISNUMBER($M32:$BT32)),""))</f>
        <v/>
      </c>
      <c r="H32" s="19">
        <f>IF($B32="","",IFERROR(SUMIFS($M32:$BT32,$M$6:$BT$6,H$9)/SUMPRODUCT(($M$6:$BT$6=H$9)*$M$7:$BT$7*(ISNUMBER($M32:$BT32)+($M32:$BT32="M")+(Setup!$B$9="Yes")*$M$8:$BT$8*($M32:$BT32=""))),""))</f>
        <v/>
      </c>
      <c r="I32" s="19">
        <f>IF($B32="","",IFERROR(SUMIFS($M32:$BT32,$M$6:$BT$6,I$9)/SUMPRODUCT(($M$6:$BT$6=I$9)*$M$7:$BT$7*(ISNUMBER($M32:$BT32)+($M32:$BT32="M")+(Setup!$B$9="Yes")*$M$8:$BT$8*($M32:$BT32=""))),""))</f>
        <v/>
      </c>
      <c r="J32" s="19">
        <f>IF($B32="","",IFERROR(SUMIFS($M32:$BT32,$M$6:$BT$6,J$9)/SUMPRODUCT(($M$6:$BT$6=J$9)*$M$7:$BT$7*(ISNUMBER($M32:$BT32)+($M32:$BT32="M")+(Setup!$B$9="Yes")*$M$8:$BT$8*($M32:$BT32=""))),""))</f>
        <v/>
      </c>
      <c r="K32" s="19">
        <f>IF($B32="","",IFERROR(SUMIFS($M32:$BT32,$M$6:$BT$6,K$9)/SUMPRODUCT(($M$6:$BT$6=K$9)*$M$7:$BT$7*(ISNUMBER($M32:$BT32)+($M32:$BT32="M")+(Setup!$B$9="Yes")*$M$8:$BT$8*($M32:$BT32=""))),""))</f>
        <v/>
      </c>
      <c r="L32" s="19">
        <f>IF($B32="","",IFERROR(SUMIFS($M32:$BT32,$M$6:$BT$6,L$9)/SUMPRODUCT(($M$6:$BT$6=L$9)*$M$7:$BT$7*(ISNUMBER($M32:$BT32)+($M32:$BT32="M")+(Setup!$B$9="Yes")*$M$8:$BT$8*($M32:$BT32=""))),""))</f>
        <v/>
      </c>
      <c r="M32" s="56" t="n">
        <v>9.5</v>
      </c>
      <c r="N32" s="56" t="n">
        <v>9.4</v>
      </c>
      <c r="O32" s="56" t="n">
        <v>19</v>
      </c>
      <c r="P32" s="56" t="n">
        <v>9.1</v>
      </c>
      <c r="Q32" s="56" t="n">
        <v>100</v>
      </c>
      <c r="R32" s="56" t="inlineStr">
        <is>
          <t>M</t>
        </is>
      </c>
      <c r="S32" s="56" t="n">
        <v>9.199999999999999</v>
      </c>
      <c r="T32" s="56" t="n">
        <v>21</v>
      </c>
      <c r="U32" s="56" t="n">
        <v>9.6</v>
      </c>
      <c r="V32" s="56" t="n">
        <v>76</v>
      </c>
      <c r="W32" s="56" t="n">
        <v>9.6</v>
      </c>
      <c r="X32" s="56" t="n">
        <v>9.1</v>
      </c>
      <c r="Y32" s="56" t="n">
        <v>23</v>
      </c>
      <c r="Z32" s="56" t="n"/>
      <c r="AA32" s="56" t="n"/>
      <c r="AB32" s="56" t="n"/>
      <c r="AC32" s="56" t="n"/>
      <c r="AD32" s="56" t="n"/>
      <c r="AE32" s="56" t="n"/>
      <c r="AF32" s="56" t="n"/>
      <c r="AG32" s="56" t="n"/>
      <c r="AH32" s="56" t="n"/>
      <c r="AI32" s="56" t="n"/>
      <c r="AJ32" s="56" t="n"/>
      <c r="AK32" s="56" t="n"/>
      <c r="AL32" s="56" t="n"/>
      <c r="AM32" s="56" t="n"/>
      <c r="AN32" s="56" t="n"/>
      <c r="AO32" s="56" t="n"/>
      <c r="AP32" s="56" t="n"/>
      <c r="AQ32" s="56" t="n"/>
      <c r="AR32" s="56" t="n"/>
      <c r="AS32" s="56" t="n"/>
      <c r="AT32" s="56" t="n"/>
      <c r="AU32" s="56" t="n"/>
      <c r="AV32" s="56" t="n"/>
      <c r="AW32" s="56" t="n"/>
      <c r="AX32" s="56" t="n"/>
      <c r="AY32" s="56" t="n"/>
      <c r="AZ32" s="56" t="n"/>
      <c r="BA32" s="56" t="n"/>
      <c r="BB32" s="56" t="n"/>
      <c r="BC32" s="56" t="n"/>
      <c r="BD32" s="56" t="n"/>
      <c r="BE32" s="56" t="n"/>
      <c r="BF32" s="56" t="n"/>
      <c r="BG32" s="56" t="n"/>
      <c r="BH32" s="56" t="n"/>
      <c r="BI32" s="56" t="n"/>
      <c r="BJ32" s="56" t="n"/>
      <c r="BK32" s="56" t="n"/>
      <c r="BL32" s="56" t="n"/>
      <c r="BM32" s="56" t="n"/>
      <c r="BN32" s="56" t="n"/>
      <c r="BO32" s="56" t="n"/>
      <c r="BP32" s="56" t="n"/>
      <c r="BQ32" s="56" t="n"/>
      <c r="BR32" s="56" t="n"/>
      <c r="BS32" s="56" t="n"/>
      <c r="BT32" s="56" t="n"/>
    </row>
    <row r="33">
      <c r="A33" s="17" t="n">
        <v>24</v>
      </c>
      <c r="B33" s="53">
        <f>IF(Roster!B29="","",Roster!B29)</f>
        <v/>
      </c>
      <c r="C33" s="54">
        <f>IF($B33="","",IFERROR(SUMPRODUCT($H$3:$L$3,H33:L33)/SUMPRODUCT($H$3:$L$3,--ISNUMBER(H33:L33)),""))</f>
        <v/>
      </c>
      <c r="D33" s="55">
        <f>IF(C33="","",VLOOKUP(C33,Setup!$D$12:$E$23,2,TRUE))</f>
        <v/>
      </c>
      <c r="E33" s="40">
        <f>IF($B33="","",IFERROR(SUMPRODUCT($M$8:$BT$8*ISNUMBER($M33:$BT33))/SUMPRODUCT($M$8:$BT$8*($M33:$BT33&lt;&gt;"EX")),""))</f>
        <v/>
      </c>
      <c r="F33" s="34">
        <f>IF($B33="","",SUMPRODUCT($M$8:$BT$8*($M33:$BT33=""))+COUNTIF($M33:$BT33,"M"))</f>
        <v/>
      </c>
      <c r="G33" s="40">
        <f>IF($B33="","",IFERROR(SUM($M33:$BT33)/SUMPRODUCT($M$7:$BT$7*ISNUMBER($M33:$BT33)),""))</f>
        <v/>
      </c>
      <c r="H33" s="19">
        <f>IF($B33="","",IFERROR(SUMIFS($M33:$BT33,$M$6:$BT$6,H$9)/SUMPRODUCT(($M$6:$BT$6=H$9)*$M$7:$BT$7*(ISNUMBER($M33:$BT33)+($M33:$BT33="M")+(Setup!$B$9="Yes")*$M$8:$BT$8*($M33:$BT33=""))),""))</f>
        <v/>
      </c>
      <c r="I33" s="19">
        <f>IF($B33="","",IFERROR(SUMIFS($M33:$BT33,$M$6:$BT$6,I$9)/SUMPRODUCT(($M$6:$BT$6=I$9)*$M$7:$BT$7*(ISNUMBER($M33:$BT33)+($M33:$BT33="M")+(Setup!$B$9="Yes")*$M$8:$BT$8*($M33:$BT33=""))),""))</f>
        <v/>
      </c>
      <c r="J33" s="19">
        <f>IF($B33="","",IFERROR(SUMIFS($M33:$BT33,$M$6:$BT$6,J$9)/SUMPRODUCT(($M$6:$BT$6=J$9)*$M$7:$BT$7*(ISNUMBER($M33:$BT33)+($M33:$BT33="M")+(Setup!$B$9="Yes")*$M$8:$BT$8*($M33:$BT33=""))),""))</f>
        <v/>
      </c>
      <c r="K33" s="19">
        <f>IF($B33="","",IFERROR(SUMIFS($M33:$BT33,$M$6:$BT$6,K$9)/SUMPRODUCT(($M$6:$BT$6=K$9)*$M$7:$BT$7*(ISNUMBER($M33:$BT33)+($M33:$BT33="M")+(Setup!$B$9="Yes")*$M$8:$BT$8*($M33:$BT33=""))),""))</f>
        <v/>
      </c>
      <c r="L33" s="19">
        <f>IF($B33="","",IFERROR(SUMIFS($M33:$BT33,$M$6:$BT$6,L$9)/SUMPRODUCT(($M$6:$BT$6=L$9)*$M$7:$BT$7*(ISNUMBER($M33:$BT33)+($M33:$BT33="M")+(Setup!$B$9="Yes")*$M$8:$BT$8*($M33:$BT33=""))),""))</f>
        <v/>
      </c>
      <c r="M33" s="56" t="n">
        <v>9.6</v>
      </c>
      <c r="N33" s="56" t="n">
        <v>9.6</v>
      </c>
      <c r="O33" s="56" t="n">
        <v>25</v>
      </c>
      <c r="P33" s="56" t="n">
        <v>8.699999999999999</v>
      </c>
      <c r="Q33" s="56" t="n">
        <v>96</v>
      </c>
      <c r="R33" s="56" t="n">
        <v>10</v>
      </c>
      <c r="S33" s="56" t="n">
        <v>10</v>
      </c>
      <c r="T33" s="56" t="n">
        <v>24</v>
      </c>
      <c r="U33" s="56" t="n">
        <v>10</v>
      </c>
      <c r="V33" s="56" t="n">
        <v>100</v>
      </c>
      <c r="W33" s="56" t="n">
        <v>9.9</v>
      </c>
      <c r="X33" s="56" t="n">
        <v>10</v>
      </c>
      <c r="Y33" s="56" t="n">
        <v>24</v>
      </c>
      <c r="Z33" s="56" t="n"/>
      <c r="AA33" s="56" t="n"/>
      <c r="AB33" s="56" t="n"/>
      <c r="AC33" s="56" t="n"/>
      <c r="AD33" s="56" t="n"/>
      <c r="AE33" s="56" t="n"/>
      <c r="AF33" s="56" t="n"/>
      <c r="AG33" s="56" t="n"/>
      <c r="AH33" s="56" t="n"/>
      <c r="AI33" s="56" t="n"/>
      <c r="AJ33" s="56" t="n"/>
      <c r="AK33" s="56" t="n"/>
      <c r="AL33" s="56" t="n"/>
      <c r="AM33" s="56" t="n"/>
      <c r="AN33" s="56" t="n"/>
      <c r="AO33" s="56" t="n"/>
      <c r="AP33" s="56" t="n"/>
      <c r="AQ33" s="56" t="n"/>
      <c r="AR33" s="56" t="n"/>
      <c r="AS33" s="56" t="n"/>
      <c r="AT33" s="56" t="n"/>
      <c r="AU33" s="56" t="n"/>
      <c r="AV33" s="56" t="n"/>
      <c r="AW33" s="56" t="n"/>
      <c r="AX33" s="56" t="n"/>
      <c r="AY33" s="56" t="n"/>
      <c r="AZ33" s="56" t="n"/>
      <c r="BA33" s="56" t="n"/>
      <c r="BB33" s="56" t="n"/>
      <c r="BC33" s="56" t="n"/>
      <c r="BD33" s="56" t="n"/>
      <c r="BE33" s="56" t="n"/>
      <c r="BF33" s="56" t="n"/>
      <c r="BG33" s="56" t="n"/>
      <c r="BH33" s="56" t="n"/>
      <c r="BI33" s="56" t="n"/>
      <c r="BJ33" s="56" t="n"/>
      <c r="BK33" s="56" t="n"/>
      <c r="BL33" s="56" t="n"/>
      <c r="BM33" s="56" t="n"/>
      <c r="BN33" s="56" t="n"/>
      <c r="BO33" s="56" t="n"/>
      <c r="BP33" s="56" t="n"/>
      <c r="BQ33" s="56" t="n"/>
      <c r="BR33" s="56" t="n"/>
      <c r="BS33" s="56" t="n"/>
      <c r="BT33" s="56" t="n"/>
    </row>
    <row r="34">
      <c r="A34" s="17" t="n">
        <v>25</v>
      </c>
      <c r="B34" s="53">
        <f>IF(Roster!B30="","",Roster!B30)</f>
        <v/>
      </c>
      <c r="C34" s="54">
        <f>IF($B34="","",IFERROR(SUMPRODUCT($H$3:$L$3,H34:L34)/SUMPRODUCT($H$3:$L$3,--ISNUMBER(H34:L34)),""))</f>
        <v/>
      </c>
      <c r="D34" s="55">
        <f>IF(C34="","",VLOOKUP(C34,Setup!$D$12:$E$23,2,TRUE))</f>
        <v/>
      </c>
      <c r="E34" s="40">
        <f>IF($B34="","",IFERROR(SUMPRODUCT($M$8:$BT$8*ISNUMBER($M34:$BT34))/SUMPRODUCT($M$8:$BT$8*($M34:$BT34&lt;&gt;"EX")),""))</f>
        <v/>
      </c>
      <c r="F34" s="34">
        <f>IF($B34="","",SUMPRODUCT($M$8:$BT$8*($M34:$BT34=""))+COUNTIF($M34:$BT34,"M"))</f>
        <v/>
      </c>
      <c r="G34" s="40">
        <f>IF($B34="","",IFERROR(SUM($M34:$BT34)/SUMPRODUCT($M$7:$BT$7*ISNUMBER($M34:$BT34)),""))</f>
        <v/>
      </c>
      <c r="H34" s="19">
        <f>IF($B34="","",IFERROR(SUMIFS($M34:$BT34,$M$6:$BT$6,H$9)/SUMPRODUCT(($M$6:$BT$6=H$9)*$M$7:$BT$7*(ISNUMBER($M34:$BT34)+($M34:$BT34="M")+(Setup!$B$9="Yes")*$M$8:$BT$8*($M34:$BT34=""))),""))</f>
        <v/>
      </c>
      <c r="I34" s="19">
        <f>IF($B34="","",IFERROR(SUMIFS($M34:$BT34,$M$6:$BT$6,I$9)/SUMPRODUCT(($M$6:$BT$6=I$9)*$M$7:$BT$7*(ISNUMBER($M34:$BT34)+($M34:$BT34="M")+(Setup!$B$9="Yes")*$M$8:$BT$8*($M34:$BT34=""))),""))</f>
        <v/>
      </c>
      <c r="J34" s="19">
        <f>IF($B34="","",IFERROR(SUMIFS($M34:$BT34,$M$6:$BT$6,J$9)/SUMPRODUCT(($M$6:$BT$6=J$9)*$M$7:$BT$7*(ISNUMBER($M34:$BT34)+($M34:$BT34="M")+(Setup!$B$9="Yes")*$M$8:$BT$8*($M34:$BT34=""))),""))</f>
        <v/>
      </c>
      <c r="K34" s="19">
        <f>IF($B34="","",IFERROR(SUMIFS($M34:$BT34,$M$6:$BT$6,K$9)/SUMPRODUCT(($M$6:$BT$6=K$9)*$M$7:$BT$7*(ISNUMBER($M34:$BT34)+($M34:$BT34="M")+(Setup!$B$9="Yes")*$M$8:$BT$8*($M34:$BT34=""))),""))</f>
        <v/>
      </c>
      <c r="L34" s="19">
        <f>IF($B34="","",IFERROR(SUMIFS($M34:$BT34,$M$6:$BT$6,L$9)/SUMPRODUCT(($M$6:$BT$6=L$9)*$M$7:$BT$7*(ISNUMBER($M34:$BT34)+($M34:$BT34="M")+(Setup!$B$9="Yes")*$M$8:$BT$8*($M34:$BT34=""))),""))</f>
        <v/>
      </c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  <c r="Z34" s="56" t="n"/>
      <c r="AA34" s="56" t="n"/>
      <c r="AB34" s="56" t="n"/>
      <c r="AC34" s="56" t="n"/>
      <c r="AD34" s="56" t="n"/>
      <c r="AE34" s="56" t="n"/>
      <c r="AF34" s="56" t="n"/>
      <c r="AG34" s="56" t="n"/>
      <c r="AH34" s="56" t="n"/>
      <c r="AI34" s="56" t="n"/>
      <c r="AJ34" s="56" t="n"/>
      <c r="AK34" s="56" t="n"/>
      <c r="AL34" s="56" t="n"/>
      <c r="AM34" s="56" t="n"/>
      <c r="AN34" s="56" t="n"/>
      <c r="AO34" s="56" t="n"/>
      <c r="AP34" s="56" t="n"/>
      <c r="AQ34" s="56" t="n"/>
      <c r="AR34" s="56" t="n"/>
      <c r="AS34" s="56" t="n"/>
      <c r="AT34" s="56" t="n"/>
      <c r="AU34" s="56" t="n"/>
      <c r="AV34" s="56" t="n"/>
      <c r="AW34" s="56" t="n"/>
      <c r="AX34" s="56" t="n"/>
      <c r="AY34" s="56" t="n"/>
      <c r="AZ34" s="56" t="n"/>
      <c r="BA34" s="56" t="n"/>
      <c r="BB34" s="56" t="n"/>
      <c r="BC34" s="56" t="n"/>
      <c r="BD34" s="56" t="n"/>
      <c r="BE34" s="56" t="n"/>
      <c r="BF34" s="56" t="n"/>
      <c r="BG34" s="56" t="n"/>
      <c r="BH34" s="56" t="n"/>
      <c r="BI34" s="56" t="n"/>
      <c r="BJ34" s="56" t="n"/>
      <c r="BK34" s="56" t="n"/>
      <c r="BL34" s="56" t="n"/>
      <c r="BM34" s="56" t="n"/>
      <c r="BN34" s="56" t="n"/>
      <c r="BO34" s="56" t="n"/>
      <c r="BP34" s="56" t="n"/>
      <c r="BQ34" s="56" t="n"/>
      <c r="BR34" s="56" t="n"/>
      <c r="BS34" s="56" t="n"/>
      <c r="BT34" s="56" t="n"/>
    </row>
    <row r="35">
      <c r="A35" s="17" t="n">
        <v>26</v>
      </c>
      <c r="B35" s="53">
        <f>IF(Roster!B31="","",Roster!B31)</f>
        <v/>
      </c>
      <c r="C35" s="54">
        <f>IF($B35="","",IFERROR(SUMPRODUCT($H$3:$L$3,H35:L35)/SUMPRODUCT($H$3:$L$3,--ISNUMBER(H35:L35)),""))</f>
        <v/>
      </c>
      <c r="D35" s="55">
        <f>IF(C35="","",VLOOKUP(C35,Setup!$D$12:$E$23,2,TRUE))</f>
        <v/>
      </c>
      <c r="E35" s="40">
        <f>IF($B35="","",IFERROR(SUMPRODUCT($M$8:$BT$8*ISNUMBER($M35:$BT35))/SUMPRODUCT($M$8:$BT$8*($M35:$BT35&lt;&gt;"EX")),""))</f>
        <v/>
      </c>
      <c r="F35" s="34">
        <f>IF($B35="","",SUMPRODUCT($M$8:$BT$8*($M35:$BT35=""))+COUNTIF($M35:$BT35,"M"))</f>
        <v/>
      </c>
      <c r="G35" s="40">
        <f>IF($B35="","",IFERROR(SUM($M35:$BT35)/SUMPRODUCT($M$7:$BT$7*ISNUMBER($M35:$BT35)),""))</f>
        <v/>
      </c>
      <c r="H35" s="19">
        <f>IF($B35="","",IFERROR(SUMIFS($M35:$BT35,$M$6:$BT$6,H$9)/SUMPRODUCT(($M$6:$BT$6=H$9)*$M$7:$BT$7*(ISNUMBER($M35:$BT35)+($M35:$BT35="M")+(Setup!$B$9="Yes")*$M$8:$BT$8*($M35:$BT35=""))),""))</f>
        <v/>
      </c>
      <c r="I35" s="19">
        <f>IF($B35="","",IFERROR(SUMIFS($M35:$BT35,$M$6:$BT$6,I$9)/SUMPRODUCT(($M$6:$BT$6=I$9)*$M$7:$BT$7*(ISNUMBER($M35:$BT35)+($M35:$BT35="M")+(Setup!$B$9="Yes")*$M$8:$BT$8*($M35:$BT35=""))),""))</f>
        <v/>
      </c>
      <c r="J35" s="19">
        <f>IF($B35="","",IFERROR(SUMIFS($M35:$BT35,$M$6:$BT$6,J$9)/SUMPRODUCT(($M$6:$BT$6=J$9)*$M$7:$BT$7*(ISNUMBER($M35:$BT35)+($M35:$BT35="M")+(Setup!$B$9="Yes")*$M$8:$BT$8*($M35:$BT35=""))),""))</f>
        <v/>
      </c>
      <c r="K35" s="19">
        <f>IF($B35="","",IFERROR(SUMIFS($M35:$BT35,$M$6:$BT$6,K$9)/SUMPRODUCT(($M$6:$BT$6=K$9)*$M$7:$BT$7*(ISNUMBER($M35:$BT35)+($M35:$BT35="M")+(Setup!$B$9="Yes")*$M$8:$BT$8*($M35:$BT35=""))),""))</f>
        <v/>
      </c>
      <c r="L35" s="19">
        <f>IF($B35="","",IFERROR(SUMIFS($M35:$BT35,$M$6:$BT$6,L$9)/SUMPRODUCT(($M$6:$BT$6=L$9)*$M$7:$BT$7*(ISNUMBER($M35:$BT35)+($M35:$BT35="M")+(Setup!$B$9="Yes")*$M$8:$BT$8*($M35:$BT35=""))),""))</f>
        <v/>
      </c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  <c r="AC35" s="56" t="n"/>
      <c r="AD35" s="56" t="n"/>
      <c r="AE35" s="56" t="n"/>
      <c r="AF35" s="56" t="n"/>
      <c r="AG35" s="56" t="n"/>
      <c r="AH35" s="56" t="n"/>
      <c r="AI35" s="56" t="n"/>
      <c r="AJ35" s="56" t="n"/>
      <c r="AK35" s="56" t="n"/>
      <c r="AL35" s="56" t="n"/>
      <c r="AM35" s="56" t="n"/>
      <c r="AN35" s="56" t="n"/>
      <c r="AO35" s="56" t="n"/>
      <c r="AP35" s="56" t="n"/>
      <c r="AQ35" s="56" t="n"/>
      <c r="AR35" s="56" t="n"/>
      <c r="AS35" s="56" t="n"/>
      <c r="AT35" s="56" t="n"/>
      <c r="AU35" s="56" t="n"/>
      <c r="AV35" s="56" t="n"/>
      <c r="AW35" s="56" t="n"/>
      <c r="AX35" s="56" t="n"/>
      <c r="AY35" s="56" t="n"/>
      <c r="AZ35" s="56" t="n"/>
      <c r="BA35" s="56" t="n"/>
      <c r="BB35" s="56" t="n"/>
      <c r="BC35" s="56" t="n"/>
      <c r="BD35" s="56" t="n"/>
      <c r="BE35" s="56" t="n"/>
      <c r="BF35" s="56" t="n"/>
      <c r="BG35" s="56" t="n"/>
      <c r="BH35" s="56" t="n"/>
      <c r="BI35" s="56" t="n"/>
      <c r="BJ35" s="56" t="n"/>
      <c r="BK35" s="56" t="n"/>
      <c r="BL35" s="56" t="n"/>
      <c r="BM35" s="56" t="n"/>
      <c r="BN35" s="56" t="n"/>
      <c r="BO35" s="56" t="n"/>
      <c r="BP35" s="56" t="n"/>
      <c r="BQ35" s="56" t="n"/>
      <c r="BR35" s="56" t="n"/>
      <c r="BS35" s="56" t="n"/>
      <c r="BT35" s="56" t="n"/>
    </row>
    <row r="36">
      <c r="A36" s="17" t="n">
        <v>27</v>
      </c>
      <c r="B36" s="53">
        <f>IF(Roster!B32="","",Roster!B32)</f>
        <v/>
      </c>
      <c r="C36" s="54">
        <f>IF($B36="","",IFERROR(SUMPRODUCT($H$3:$L$3,H36:L36)/SUMPRODUCT($H$3:$L$3,--ISNUMBER(H36:L36)),""))</f>
        <v/>
      </c>
      <c r="D36" s="55">
        <f>IF(C36="","",VLOOKUP(C36,Setup!$D$12:$E$23,2,TRUE))</f>
        <v/>
      </c>
      <c r="E36" s="40">
        <f>IF($B36="","",IFERROR(SUMPRODUCT($M$8:$BT$8*ISNUMBER($M36:$BT36))/SUMPRODUCT($M$8:$BT$8*($M36:$BT36&lt;&gt;"EX")),""))</f>
        <v/>
      </c>
      <c r="F36" s="34">
        <f>IF($B36="","",SUMPRODUCT($M$8:$BT$8*($M36:$BT36=""))+COUNTIF($M36:$BT36,"M"))</f>
        <v/>
      </c>
      <c r="G36" s="40">
        <f>IF($B36="","",IFERROR(SUM($M36:$BT36)/SUMPRODUCT($M$7:$BT$7*ISNUMBER($M36:$BT36)),""))</f>
        <v/>
      </c>
      <c r="H36" s="19">
        <f>IF($B36="","",IFERROR(SUMIFS($M36:$BT36,$M$6:$BT$6,H$9)/SUMPRODUCT(($M$6:$BT$6=H$9)*$M$7:$BT$7*(ISNUMBER($M36:$BT36)+($M36:$BT36="M")+(Setup!$B$9="Yes")*$M$8:$BT$8*($M36:$BT36=""))),""))</f>
        <v/>
      </c>
      <c r="I36" s="19">
        <f>IF($B36="","",IFERROR(SUMIFS($M36:$BT36,$M$6:$BT$6,I$9)/SUMPRODUCT(($M$6:$BT$6=I$9)*$M$7:$BT$7*(ISNUMBER($M36:$BT36)+($M36:$BT36="M")+(Setup!$B$9="Yes")*$M$8:$BT$8*($M36:$BT36=""))),""))</f>
        <v/>
      </c>
      <c r="J36" s="19">
        <f>IF($B36="","",IFERROR(SUMIFS($M36:$BT36,$M$6:$BT$6,J$9)/SUMPRODUCT(($M$6:$BT$6=J$9)*$M$7:$BT$7*(ISNUMBER($M36:$BT36)+($M36:$BT36="M")+(Setup!$B$9="Yes")*$M$8:$BT$8*($M36:$BT36=""))),""))</f>
        <v/>
      </c>
      <c r="K36" s="19">
        <f>IF($B36="","",IFERROR(SUMIFS($M36:$BT36,$M$6:$BT$6,K$9)/SUMPRODUCT(($M$6:$BT$6=K$9)*$M$7:$BT$7*(ISNUMBER($M36:$BT36)+($M36:$BT36="M")+(Setup!$B$9="Yes")*$M$8:$BT$8*($M36:$BT36=""))),""))</f>
        <v/>
      </c>
      <c r="L36" s="19">
        <f>IF($B36="","",IFERROR(SUMIFS($M36:$BT36,$M$6:$BT$6,L$9)/SUMPRODUCT(($M$6:$BT$6=L$9)*$M$7:$BT$7*(ISNUMBER($M36:$BT36)+($M36:$BT36="M")+(Setup!$B$9="Yes")*$M$8:$BT$8*($M36:$BT36=""))),""))</f>
        <v/>
      </c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  <c r="Z36" s="56" t="n"/>
      <c r="AA36" s="56" t="n"/>
      <c r="AB36" s="56" t="n"/>
      <c r="AC36" s="56" t="n"/>
      <c r="AD36" s="56" t="n"/>
      <c r="AE36" s="56" t="n"/>
      <c r="AF36" s="56" t="n"/>
      <c r="AG36" s="56" t="n"/>
      <c r="AH36" s="56" t="n"/>
      <c r="AI36" s="56" t="n"/>
      <c r="AJ36" s="56" t="n"/>
      <c r="AK36" s="56" t="n"/>
      <c r="AL36" s="56" t="n"/>
      <c r="AM36" s="56" t="n"/>
      <c r="AN36" s="56" t="n"/>
      <c r="AO36" s="56" t="n"/>
      <c r="AP36" s="56" t="n"/>
      <c r="AQ36" s="56" t="n"/>
      <c r="AR36" s="56" t="n"/>
      <c r="AS36" s="56" t="n"/>
      <c r="AT36" s="56" t="n"/>
      <c r="AU36" s="56" t="n"/>
      <c r="AV36" s="56" t="n"/>
      <c r="AW36" s="56" t="n"/>
      <c r="AX36" s="56" t="n"/>
      <c r="AY36" s="56" t="n"/>
      <c r="AZ36" s="56" t="n"/>
      <c r="BA36" s="56" t="n"/>
      <c r="BB36" s="56" t="n"/>
      <c r="BC36" s="56" t="n"/>
      <c r="BD36" s="56" t="n"/>
      <c r="BE36" s="56" t="n"/>
      <c r="BF36" s="56" t="n"/>
      <c r="BG36" s="56" t="n"/>
      <c r="BH36" s="56" t="n"/>
      <c r="BI36" s="56" t="n"/>
      <c r="BJ36" s="56" t="n"/>
      <c r="BK36" s="56" t="n"/>
      <c r="BL36" s="56" t="n"/>
      <c r="BM36" s="56" t="n"/>
      <c r="BN36" s="56" t="n"/>
      <c r="BO36" s="56" t="n"/>
      <c r="BP36" s="56" t="n"/>
      <c r="BQ36" s="56" t="n"/>
      <c r="BR36" s="56" t="n"/>
      <c r="BS36" s="56" t="n"/>
      <c r="BT36" s="56" t="n"/>
    </row>
    <row r="37">
      <c r="A37" s="17" t="n">
        <v>28</v>
      </c>
      <c r="B37" s="53">
        <f>IF(Roster!B33="","",Roster!B33)</f>
        <v/>
      </c>
      <c r="C37" s="54">
        <f>IF($B37="","",IFERROR(SUMPRODUCT($H$3:$L$3,H37:L37)/SUMPRODUCT($H$3:$L$3,--ISNUMBER(H37:L37)),""))</f>
        <v/>
      </c>
      <c r="D37" s="55">
        <f>IF(C37="","",VLOOKUP(C37,Setup!$D$12:$E$23,2,TRUE))</f>
        <v/>
      </c>
      <c r="E37" s="40">
        <f>IF($B37="","",IFERROR(SUMPRODUCT($M$8:$BT$8*ISNUMBER($M37:$BT37))/SUMPRODUCT($M$8:$BT$8*($M37:$BT37&lt;&gt;"EX")),""))</f>
        <v/>
      </c>
      <c r="F37" s="34">
        <f>IF($B37="","",SUMPRODUCT($M$8:$BT$8*($M37:$BT37=""))+COUNTIF($M37:$BT37,"M"))</f>
        <v/>
      </c>
      <c r="G37" s="40">
        <f>IF($B37="","",IFERROR(SUM($M37:$BT37)/SUMPRODUCT($M$7:$BT$7*ISNUMBER($M37:$BT37)),""))</f>
        <v/>
      </c>
      <c r="H37" s="19">
        <f>IF($B37="","",IFERROR(SUMIFS($M37:$BT37,$M$6:$BT$6,H$9)/SUMPRODUCT(($M$6:$BT$6=H$9)*$M$7:$BT$7*(ISNUMBER($M37:$BT37)+($M37:$BT37="M")+(Setup!$B$9="Yes")*$M$8:$BT$8*($M37:$BT37=""))),""))</f>
        <v/>
      </c>
      <c r="I37" s="19">
        <f>IF($B37="","",IFERROR(SUMIFS($M37:$BT37,$M$6:$BT$6,I$9)/SUMPRODUCT(($M$6:$BT$6=I$9)*$M$7:$BT$7*(ISNUMBER($M37:$BT37)+($M37:$BT37="M")+(Setup!$B$9="Yes")*$M$8:$BT$8*($M37:$BT37=""))),""))</f>
        <v/>
      </c>
      <c r="J37" s="19">
        <f>IF($B37="","",IFERROR(SUMIFS($M37:$BT37,$M$6:$BT$6,J$9)/SUMPRODUCT(($M$6:$BT$6=J$9)*$M$7:$BT$7*(ISNUMBER($M37:$BT37)+($M37:$BT37="M")+(Setup!$B$9="Yes")*$M$8:$BT$8*($M37:$BT37=""))),""))</f>
        <v/>
      </c>
      <c r="K37" s="19">
        <f>IF($B37="","",IFERROR(SUMIFS($M37:$BT37,$M$6:$BT$6,K$9)/SUMPRODUCT(($M$6:$BT$6=K$9)*$M$7:$BT$7*(ISNUMBER($M37:$BT37)+($M37:$BT37="M")+(Setup!$B$9="Yes")*$M$8:$BT$8*($M37:$BT37=""))),""))</f>
        <v/>
      </c>
      <c r="L37" s="19">
        <f>IF($B37="","",IFERROR(SUMIFS($M37:$BT37,$M$6:$BT$6,L$9)/SUMPRODUCT(($M$6:$BT$6=L$9)*$M$7:$BT$7*(ISNUMBER($M37:$BT37)+($M37:$BT37="M")+(Setup!$B$9="Yes")*$M$8:$BT$8*($M37:$BT37=""))),""))</f>
        <v/>
      </c>
      <c r="M37" s="56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  <c r="AC37" s="56" t="n"/>
      <c r="AD37" s="56" t="n"/>
      <c r="AE37" s="56" t="n"/>
      <c r="AF37" s="56" t="n"/>
      <c r="AG37" s="56" t="n"/>
      <c r="AH37" s="56" t="n"/>
      <c r="AI37" s="56" t="n"/>
      <c r="AJ37" s="56" t="n"/>
      <c r="AK37" s="56" t="n"/>
      <c r="AL37" s="56" t="n"/>
      <c r="AM37" s="56" t="n"/>
      <c r="AN37" s="56" t="n"/>
      <c r="AO37" s="56" t="n"/>
      <c r="AP37" s="56" t="n"/>
      <c r="AQ37" s="56" t="n"/>
      <c r="AR37" s="56" t="n"/>
      <c r="AS37" s="56" t="n"/>
      <c r="AT37" s="56" t="n"/>
      <c r="AU37" s="56" t="n"/>
      <c r="AV37" s="56" t="n"/>
      <c r="AW37" s="56" t="n"/>
      <c r="AX37" s="56" t="n"/>
      <c r="AY37" s="56" t="n"/>
      <c r="AZ37" s="56" t="n"/>
      <c r="BA37" s="56" t="n"/>
      <c r="BB37" s="56" t="n"/>
      <c r="BC37" s="56" t="n"/>
      <c r="BD37" s="56" t="n"/>
      <c r="BE37" s="56" t="n"/>
      <c r="BF37" s="56" t="n"/>
      <c r="BG37" s="56" t="n"/>
      <c r="BH37" s="56" t="n"/>
      <c r="BI37" s="56" t="n"/>
      <c r="BJ37" s="56" t="n"/>
      <c r="BK37" s="56" t="n"/>
      <c r="BL37" s="56" t="n"/>
      <c r="BM37" s="56" t="n"/>
      <c r="BN37" s="56" t="n"/>
      <c r="BO37" s="56" t="n"/>
      <c r="BP37" s="56" t="n"/>
      <c r="BQ37" s="56" t="n"/>
      <c r="BR37" s="56" t="n"/>
      <c r="BS37" s="56" t="n"/>
      <c r="BT37" s="56" t="n"/>
    </row>
    <row r="38">
      <c r="A38" s="17" t="n">
        <v>29</v>
      </c>
      <c r="B38" s="53">
        <f>IF(Roster!B34="","",Roster!B34)</f>
        <v/>
      </c>
      <c r="C38" s="54">
        <f>IF($B38="","",IFERROR(SUMPRODUCT($H$3:$L$3,H38:L38)/SUMPRODUCT($H$3:$L$3,--ISNUMBER(H38:L38)),""))</f>
        <v/>
      </c>
      <c r="D38" s="55">
        <f>IF(C38="","",VLOOKUP(C38,Setup!$D$12:$E$23,2,TRUE))</f>
        <v/>
      </c>
      <c r="E38" s="40">
        <f>IF($B38="","",IFERROR(SUMPRODUCT($M$8:$BT$8*ISNUMBER($M38:$BT38))/SUMPRODUCT($M$8:$BT$8*($M38:$BT38&lt;&gt;"EX")),""))</f>
        <v/>
      </c>
      <c r="F38" s="34">
        <f>IF($B38="","",SUMPRODUCT($M$8:$BT$8*($M38:$BT38=""))+COUNTIF($M38:$BT38,"M"))</f>
        <v/>
      </c>
      <c r="G38" s="40">
        <f>IF($B38="","",IFERROR(SUM($M38:$BT38)/SUMPRODUCT($M$7:$BT$7*ISNUMBER($M38:$BT38)),""))</f>
        <v/>
      </c>
      <c r="H38" s="19">
        <f>IF($B38="","",IFERROR(SUMIFS($M38:$BT38,$M$6:$BT$6,H$9)/SUMPRODUCT(($M$6:$BT$6=H$9)*$M$7:$BT$7*(ISNUMBER($M38:$BT38)+($M38:$BT38="M")+(Setup!$B$9="Yes")*$M$8:$BT$8*($M38:$BT38=""))),""))</f>
        <v/>
      </c>
      <c r="I38" s="19">
        <f>IF($B38="","",IFERROR(SUMIFS($M38:$BT38,$M$6:$BT$6,I$9)/SUMPRODUCT(($M$6:$BT$6=I$9)*$M$7:$BT$7*(ISNUMBER($M38:$BT38)+($M38:$BT38="M")+(Setup!$B$9="Yes")*$M$8:$BT$8*($M38:$BT38=""))),""))</f>
        <v/>
      </c>
      <c r="J38" s="19">
        <f>IF($B38="","",IFERROR(SUMIFS($M38:$BT38,$M$6:$BT$6,J$9)/SUMPRODUCT(($M$6:$BT$6=J$9)*$M$7:$BT$7*(ISNUMBER($M38:$BT38)+($M38:$BT38="M")+(Setup!$B$9="Yes")*$M$8:$BT$8*($M38:$BT38=""))),""))</f>
        <v/>
      </c>
      <c r="K38" s="19">
        <f>IF($B38="","",IFERROR(SUMIFS($M38:$BT38,$M$6:$BT$6,K$9)/SUMPRODUCT(($M$6:$BT$6=K$9)*$M$7:$BT$7*(ISNUMBER($M38:$BT38)+($M38:$BT38="M")+(Setup!$B$9="Yes")*$M$8:$BT$8*($M38:$BT38=""))),""))</f>
        <v/>
      </c>
      <c r="L38" s="19">
        <f>IF($B38="","",IFERROR(SUMIFS($M38:$BT38,$M$6:$BT$6,L$9)/SUMPRODUCT(($M$6:$BT$6=L$9)*$M$7:$BT$7*(ISNUMBER($M38:$BT38)+($M38:$BT38="M")+(Setup!$B$9="Yes")*$M$8:$BT$8*($M38:$BT38=""))),""))</f>
        <v/>
      </c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  <c r="AA38" s="56" t="n"/>
      <c r="AB38" s="56" t="n"/>
      <c r="AC38" s="56" t="n"/>
      <c r="AD38" s="56" t="n"/>
      <c r="AE38" s="56" t="n"/>
      <c r="AF38" s="56" t="n"/>
      <c r="AG38" s="56" t="n"/>
      <c r="AH38" s="56" t="n"/>
      <c r="AI38" s="56" t="n"/>
      <c r="AJ38" s="56" t="n"/>
      <c r="AK38" s="56" t="n"/>
      <c r="AL38" s="56" t="n"/>
      <c r="AM38" s="56" t="n"/>
      <c r="AN38" s="56" t="n"/>
      <c r="AO38" s="56" t="n"/>
      <c r="AP38" s="56" t="n"/>
      <c r="AQ38" s="56" t="n"/>
      <c r="AR38" s="56" t="n"/>
      <c r="AS38" s="56" t="n"/>
      <c r="AT38" s="56" t="n"/>
      <c r="AU38" s="56" t="n"/>
      <c r="AV38" s="56" t="n"/>
      <c r="AW38" s="56" t="n"/>
      <c r="AX38" s="56" t="n"/>
      <c r="AY38" s="56" t="n"/>
      <c r="AZ38" s="56" t="n"/>
      <c r="BA38" s="56" t="n"/>
      <c r="BB38" s="56" t="n"/>
      <c r="BC38" s="56" t="n"/>
      <c r="BD38" s="56" t="n"/>
      <c r="BE38" s="56" t="n"/>
      <c r="BF38" s="56" t="n"/>
      <c r="BG38" s="56" t="n"/>
      <c r="BH38" s="56" t="n"/>
      <c r="BI38" s="56" t="n"/>
      <c r="BJ38" s="56" t="n"/>
      <c r="BK38" s="56" t="n"/>
      <c r="BL38" s="56" t="n"/>
      <c r="BM38" s="56" t="n"/>
      <c r="BN38" s="56" t="n"/>
      <c r="BO38" s="56" t="n"/>
      <c r="BP38" s="56" t="n"/>
      <c r="BQ38" s="56" t="n"/>
      <c r="BR38" s="56" t="n"/>
      <c r="BS38" s="56" t="n"/>
      <c r="BT38" s="56" t="n"/>
    </row>
    <row r="39">
      <c r="A39" s="17" t="n">
        <v>30</v>
      </c>
      <c r="B39" s="53">
        <f>IF(Roster!B35="","",Roster!B35)</f>
        <v/>
      </c>
      <c r="C39" s="54">
        <f>IF($B39="","",IFERROR(SUMPRODUCT($H$3:$L$3,H39:L39)/SUMPRODUCT($H$3:$L$3,--ISNUMBER(H39:L39)),""))</f>
        <v/>
      </c>
      <c r="D39" s="55">
        <f>IF(C39="","",VLOOKUP(C39,Setup!$D$12:$E$23,2,TRUE))</f>
        <v/>
      </c>
      <c r="E39" s="40">
        <f>IF($B39="","",IFERROR(SUMPRODUCT($M$8:$BT$8*ISNUMBER($M39:$BT39))/SUMPRODUCT($M$8:$BT$8*($M39:$BT39&lt;&gt;"EX")),""))</f>
        <v/>
      </c>
      <c r="F39" s="34">
        <f>IF($B39="","",SUMPRODUCT($M$8:$BT$8*($M39:$BT39=""))+COUNTIF($M39:$BT39,"M"))</f>
        <v/>
      </c>
      <c r="G39" s="40">
        <f>IF($B39="","",IFERROR(SUM($M39:$BT39)/SUMPRODUCT($M$7:$BT$7*ISNUMBER($M39:$BT39)),""))</f>
        <v/>
      </c>
      <c r="H39" s="19">
        <f>IF($B39="","",IFERROR(SUMIFS($M39:$BT39,$M$6:$BT$6,H$9)/SUMPRODUCT(($M$6:$BT$6=H$9)*$M$7:$BT$7*(ISNUMBER($M39:$BT39)+($M39:$BT39="M")+(Setup!$B$9="Yes")*$M$8:$BT$8*($M39:$BT39=""))),""))</f>
        <v/>
      </c>
      <c r="I39" s="19">
        <f>IF($B39="","",IFERROR(SUMIFS($M39:$BT39,$M$6:$BT$6,I$9)/SUMPRODUCT(($M$6:$BT$6=I$9)*$M$7:$BT$7*(ISNUMBER($M39:$BT39)+($M39:$BT39="M")+(Setup!$B$9="Yes")*$M$8:$BT$8*($M39:$BT39=""))),""))</f>
        <v/>
      </c>
      <c r="J39" s="19">
        <f>IF($B39="","",IFERROR(SUMIFS($M39:$BT39,$M$6:$BT$6,J$9)/SUMPRODUCT(($M$6:$BT$6=J$9)*$M$7:$BT$7*(ISNUMBER($M39:$BT39)+($M39:$BT39="M")+(Setup!$B$9="Yes")*$M$8:$BT$8*($M39:$BT39=""))),""))</f>
        <v/>
      </c>
      <c r="K39" s="19">
        <f>IF($B39="","",IFERROR(SUMIFS($M39:$BT39,$M$6:$BT$6,K$9)/SUMPRODUCT(($M$6:$BT$6=K$9)*$M$7:$BT$7*(ISNUMBER($M39:$BT39)+($M39:$BT39="M")+(Setup!$B$9="Yes")*$M$8:$BT$8*($M39:$BT39=""))),""))</f>
        <v/>
      </c>
      <c r="L39" s="19">
        <f>IF($B39="","",IFERROR(SUMIFS($M39:$BT39,$M$6:$BT$6,L$9)/SUMPRODUCT(($M$6:$BT$6=L$9)*$M$7:$BT$7*(ISNUMBER($M39:$BT39)+($M39:$BT39="M")+(Setup!$B$9="Yes")*$M$8:$BT$8*($M39:$BT39=""))),""))</f>
        <v/>
      </c>
      <c r="M39" s="56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  <c r="AC39" s="56" t="n"/>
      <c r="AD39" s="56" t="n"/>
      <c r="AE39" s="56" t="n"/>
      <c r="AF39" s="56" t="n"/>
      <c r="AG39" s="56" t="n"/>
      <c r="AH39" s="56" t="n"/>
      <c r="AI39" s="56" t="n"/>
      <c r="AJ39" s="56" t="n"/>
      <c r="AK39" s="56" t="n"/>
      <c r="AL39" s="56" t="n"/>
      <c r="AM39" s="56" t="n"/>
      <c r="AN39" s="56" t="n"/>
      <c r="AO39" s="56" t="n"/>
      <c r="AP39" s="56" t="n"/>
      <c r="AQ39" s="56" t="n"/>
      <c r="AR39" s="56" t="n"/>
      <c r="AS39" s="56" t="n"/>
      <c r="AT39" s="56" t="n"/>
      <c r="AU39" s="56" t="n"/>
      <c r="AV39" s="56" t="n"/>
      <c r="AW39" s="56" t="n"/>
      <c r="AX39" s="56" t="n"/>
      <c r="AY39" s="56" t="n"/>
      <c r="AZ39" s="56" t="n"/>
      <c r="BA39" s="56" t="n"/>
      <c r="BB39" s="56" t="n"/>
      <c r="BC39" s="56" t="n"/>
      <c r="BD39" s="56" t="n"/>
      <c r="BE39" s="56" t="n"/>
      <c r="BF39" s="56" t="n"/>
      <c r="BG39" s="56" t="n"/>
      <c r="BH39" s="56" t="n"/>
      <c r="BI39" s="56" t="n"/>
      <c r="BJ39" s="56" t="n"/>
      <c r="BK39" s="56" t="n"/>
      <c r="BL39" s="56" t="n"/>
      <c r="BM39" s="56" t="n"/>
      <c r="BN39" s="56" t="n"/>
      <c r="BO39" s="56" t="n"/>
      <c r="BP39" s="56" t="n"/>
      <c r="BQ39" s="56" t="n"/>
      <c r="BR39" s="56" t="n"/>
      <c r="BS39" s="56" t="n"/>
      <c r="BT39" s="56" t="n"/>
    </row>
    <row r="40">
      <c r="A40" s="17" t="n">
        <v>31</v>
      </c>
      <c r="B40" s="53">
        <f>IF(Roster!B36="","",Roster!B36)</f>
        <v/>
      </c>
      <c r="C40" s="54">
        <f>IF($B40="","",IFERROR(SUMPRODUCT($H$3:$L$3,H40:L40)/SUMPRODUCT($H$3:$L$3,--ISNUMBER(H40:L40)),""))</f>
        <v/>
      </c>
      <c r="D40" s="55">
        <f>IF(C40="","",VLOOKUP(C40,Setup!$D$12:$E$23,2,TRUE))</f>
        <v/>
      </c>
      <c r="E40" s="40">
        <f>IF($B40="","",IFERROR(SUMPRODUCT($M$8:$BT$8*ISNUMBER($M40:$BT40))/SUMPRODUCT($M$8:$BT$8*($M40:$BT40&lt;&gt;"EX")),""))</f>
        <v/>
      </c>
      <c r="F40" s="34">
        <f>IF($B40="","",SUMPRODUCT($M$8:$BT$8*($M40:$BT40=""))+COUNTIF($M40:$BT40,"M"))</f>
        <v/>
      </c>
      <c r="G40" s="40">
        <f>IF($B40="","",IFERROR(SUM($M40:$BT40)/SUMPRODUCT($M$7:$BT$7*ISNUMBER($M40:$BT40)),""))</f>
        <v/>
      </c>
      <c r="H40" s="19">
        <f>IF($B40="","",IFERROR(SUMIFS($M40:$BT40,$M$6:$BT$6,H$9)/SUMPRODUCT(($M$6:$BT$6=H$9)*$M$7:$BT$7*(ISNUMBER($M40:$BT40)+($M40:$BT40="M")+(Setup!$B$9="Yes")*$M$8:$BT$8*($M40:$BT40=""))),""))</f>
        <v/>
      </c>
      <c r="I40" s="19">
        <f>IF($B40="","",IFERROR(SUMIFS($M40:$BT40,$M$6:$BT$6,I$9)/SUMPRODUCT(($M$6:$BT$6=I$9)*$M$7:$BT$7*(ISNUMBER($M40:$BT40)+($M40:$BT40="M")+(Setup!$B$9="Yes")*$M$8:$BT$8*($M40:$BT40=""))),""))</f>
        <v/>
      </c>
      <c r="J40" s="19">
        <f>IF($B40="","",IFERROR(SUMIFS($M40:$BT40,$M$6:$BT$6,J$9)/SUMPRODUCT(($M$6:$BT$6=J$9)*$M$7:$BT$7*(ISNUMBER($M40:$BT40)+($M40:$BT40="M")+(Setup!$B$9="Yes")*$M$8:$BT$8*($M40:$BT40=""))),""))</f>
        <v/>
      </c>
      <c r="K40" s="19">
        <f>IF($B40="","",IFERROR(SUMIFS($M40:$BT40,$M$6:$BT$6,K$9)/SUMPRODUCT(($M$6:$BT$6=K$9)*$M$7:$BT$7*(ISNUMBER($M40:$BT40)+($M40:$BT40="M")+(Setup!$B$9="Yes")*$M$8:$BT$8*($M40:$BT40=""))),""))</f>
        <v/>
      </c>
      <c r="L40" s="19">
        <f>IF($B40="","",IFERROR(SUMIFS($M40:$BT40,$M$6:$BT$6,L$9)/SUMPRODUCT(($M$6:$BT$6=L$9)*$M$7:$BT$7*(ISNUMBER($M40:$BT40)+($M40:$BT40="M")+(Setup!$B$9="Yes")*$M$8:$BT$8*($M40:$BT40=""))),""))</f>
        <v/>
      </c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  <c r="AA40" s="56" t="n"/>
      <c r="AB40" s="56" t="n"/>
      <c r="AC40" s="56" t="n"/>
      <c r="AD40" s="56" t="n"/>
      <c r="AE40" s="56" t="n"/>
      <c r="AF40" s="56" t="n"/>
      <c r="AG40" s="56" t="n"/>
      <c r="AH40" s="56" t="n"/>
      <c r="AI40" s="56" t="n"/>
      <c r="AJ40" s="56" t="n"/>
      <c r="AK40" s="56" t="n"/>
      <c r="AL40" s="56" t="n"/>
      <c r="AM40" s="56" t="n"/>
      <c r="AN40" s="56" t="n"/>
      <c r="AO40" s="56" t="n"/>
      <c r="AP40" s="56" t="n"/>
      <c r="AQ40" s="56" t="n"/>
      <c r="AR40" s="56" t="n"/>
      <c r="AS40" s="56" t="n"/>
      <c r="AT40" s="56" t="n"/>
      <c r="AU40" s="56" t="n"/>
      <c r="AV40" s="56" t="n"/>
      <c r="AW40" s="56" t="n"/>
      <c r="AX40" s="56" t="n"/>
      <c r="AY40" s="56" t="n"/>
      <c r="AZ40" s="56" t="n"/>
      <c r="BA40" s="56" t="n"/>
      <c r="BB40" s="56" t="n"/>
      <c r="BC40" s="56" t="n"/>
      <c r="BD40" s="56" t="n"/>
      <c r="BE40" s="56" t="n"/>
      <c r="BF40" s="56" t="n"/>
      <c r="BG40" s="56" t="n"/>
      <c r="BH40" s="56" t="n"/>
      <c r="BI40" s="56" t="n"/>
      <c r="BJ40" s="56" t="n"/>
      <c r="BK40" s="56" t="n"/>
      <c r="BL40" s="56" t="n"/>
      <c r="BM40" s="56" t="n"/>
      <c r="BN40" s="56" t="n"/>
      <c r="BO40" s="56" t="n"/>
      <c r="BP40" s="56" t="n"/>
      <c r="BQ40" s="56" t="n"/>
      <c r="BR40" s="56" t="n"/>
      <c r="BS40" s="56" t="n"/>
      <c r="BT40" s="56" t="n"/>
    </row>
    <row r="41">
      <c r="A41" s="17" t="n">
        <v>32</v>
      </c>
      <c r="B41" s="53">
        <f>IF(Roster!B37="","",Roster!B37)</f>
        <v/>
      </c>
      <c r="C41" s="54">
        <f>IF($B41="","",IFERROR(SUMPRODUCT($H$3:$L$3,H41:L41)/SUMPRODUCT($H$3:$L$3,--ISNUMBER(H41:L41)),""))</f>
        <v/>
      </c>
      <c r="D41" s="55">
        <f>IF(C41="","",VLOOKUP(C41,Setup!$D$12:$E$23,2,TRUE))</f>
        <v/>
      </c>
      <c r="E41" s="40">
        <f>IF($B41="","",IFERROR(SUMPRODUCT($M$8:$BT$8*ISNUMBER($M41:$BT41))/SUMPRODUCT($M$8:$BT$8*($M41:$BT41&lt;&gt;"EX")),""))</f>
        <v/>
      </c>
      <c r="F41" s="34">
        <f>IF($B41="","",SUMPRODUCT($M$8:$BT$8*($M41:$BT41=""))+COUNTIF($M41:$BT41,"M"))</f>
        <v/>
      </c>
      <c r="G41" s="40">
        <f>IF($B41="","",IFERROR(SUM($M41:$BT41)/SUMPRODUCT($M$7:$BT$7*ISNUMBER($M41:$BT41)),""))</f>
        <v/>
      </c>
      <c r="H41" s="19">
        <f>IF($B41="","",IFERROR(SUMIFS($M41:$BT41,$M$6:$BT$6,H$9)/SUMPRODUCT(($M$6:$BT$6=H$9)*$M$7:$BT$7*(ISNUMBER($M41:$BT41)+($M41:$BT41="M")+(Setup!$B$9="Yes")*$M$8:$BT$8*($M41:$BT41=""))),""))</f>
        <v/>
      </c>
      <c r="I41" s="19">
        <f>IF($B41="","",IFERROR(SUMIFS($M41:$BT41,$M$6:$BT$6,I$9)/SUMPRODUCT(($M$6:$BT$6=I$9)*$M$7:$BT$7*(ISNUMBER($M41:$BT41)+($M41:$BT41="M")+(Setup!$B$9="Yes")*$M$8:$BT$8*($M41:$BT41=""))),""))</f>
        <v/>
      </c>
      <c r="J41" s="19">
        <f>IF($B41="","",IFERROR(SUMIFS($M41:$BT41,$M$6:$BT$6,J$9)/SUMPRODUCT(($M$6:$BT$6=J$9)*$M$7:$BT$7*(ISNUMBER($M41:$BT41)+($M41:$BT41="M")+(Setup!$B$9="Yes")*$M$8:$BT$8*($M41:$BT41=""))),""))</f>
        <v/>
      </c>
      <c r="K41" s="19">
        <f>IF($B41="","",IFERROR(SUMIFS($M41:$BT41,$M$6:$BT$6,K$9)/SUMPRODUCT(($M$6:$BT$6=K$9)*$M$7:$BT$7*(ISNUMBER($M41:$BT41)+($M41:$BT41="M")+(Setup!$B$9="Yes")*$M$8:$BT$8*($M41:$BT41=""))),""))</f>
        <v/>
      </c>
      <c r="L41" s="19">
        <f>IF($B41="","",IFERROR(SUMIFS($M41:$BT41,$M$6:$BT$6,L$9)/SUMPRODUCT(($M$6:$BT$6=L$9)*$M$7:$BT$7*(ISNUMBER($M41:$BT41)+($M41:$BT41="M")+(Setup!$B$9="Yes")*$M$8:$BT$8*($M41:$BT41=""))),""))</f>
        <v/>
      </c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  <c r="AC41" s="56" t="n"/>
      <c r="AD41" s="56" t="n"/>
      <c r="AE41" s="56" t="n"/>
      <c r="AF41" s="56" t="n"/>
      <c r="AG41" s="56" t="n"/>
      <c r="AH41" s="56" t="n"/>
      <c r="AI41" s="56" t="n"/>
      <c r="AJ41" s="56" t="n"/>
      <c r="AK41" s="56" t="n"/>
      <c r="AL41" s="56" t="n"/>
      <c r="AM41" s="56" t="n"/>
      <c r="AN41" s="56" t="n"/>
      <c r="AO41" s="56" t="n"/>
      <c r="AP41" s="56" t="n"/>
      <c r="AQ41" s="56" t="n"/>
      <c r="AR41" s="56" t="n"/>
      <c r="AS41" s="56" t="n"/>
      <c r="AT41" s="56" t="n"/>
      <c r="AU41" s="56" t="n"/>
      <c r="AV41" s="56" t="n"/>
      <c r="AW41" s="56" t="n"/>
      <c r="AX41" s="56" t="n"/>
      <c r="AY41" s="56" t="n"/>
      <c r="AZ41" s="56" t="n"/>
      <c r="BA41" s="56" t="n"/>
      <c r="BB41" s="56" t="n"/>
      <c r="BC41" s="56" t="n"/>
      <c r="BD41" s="56" t="n"/>
      <c r="BE41" s="56" t="n"/>
      <c r="BF41" s="56" t="n"/>
      <c r="BG41" s="56" t="n"/>
      <c r="BH41" s="56" t="n"/>
      <c r="BI41" s="56" t="n"/>
      <c r="BJ41" s="56" t="n"/>
      <c r="BK41" s="56" t="n"/>
      <c r="BL41" s="56" t="n"/>
      <c r="BM41" s="56" t="n"/>
      <c r="BN41" s="56" t="n"/>
      <c r="BO41" s="56" t="n"/>
      <c r="BP41" s="56" t="n"/>
      <c r="BQ41" s="56" t="n"/>
      <c r="BR41" s="56" t="n"/>
      <c r="BS41" s="56" t="n"/>
      <c r="BT41" s="56" t="n"/>
    </row>
    <row r="42">
      <c r="A42" s="17" t="n">
        <v>33</v>
      </c>
      <c r="B42" s="53">
        <f>IF(Roster!B38="","",Roster!B38)</f>
        <v/>
      </c>
      <c r="C42" s="54">
        <f>IF($B42="","",IFERROR(SUMPRODUCT($H$3:$L$3,H42:L42)/SUMPRODUCT($H$3:$L$3,--ISNUMBER(H42:L42)),""))</f>
        <v/>
      </c>
      <c r="D42" s="55">
        <f>IF(C42="","",VLOOKUP(C42,Setup!$D$12:$E$23,2,TRUE))</f>
        <v/>
      </c>
      <c r="E42" s="40">
        <f>IF($B42="","",IFERROR(SUMPRODUCT($M$8:$BT$8*ISNUMBER($M42:$BT42))/SUMPRODUCT($M$8:$BT$8*($M42:$BT42&lt;&gt;"EX")),""))</f>
        <v/>
      </c>
      <c r="F42" s="34">
        <f>IF($B42="","",SUMPRODUCT($M$8:$BT$8*($M42:$BT42=""))+COUNTIF($M42:$BT42,"M"))</f>
        <v/>
      </c>
      <c r="G42" s="40">
        <f>IF($B42="","",IFERROR(SUM($M42:$BT42)/SUMPRODUCT($M$7:$BT$7*ISNUMBER($M42:$BT42)),""))</f>
        <v/>
      </c>
      <c r="H42" s="19">
        <f>IF($B42="","",IFERROR(SUMIFS($M42:$BT42,$M$6:$BT$6,H$9)/SUMPRODUCT(($M$6:$BT$6=H$9)*$M$7:$BT$7*(ISNUMBER($M42:$BT42)+($M42:$BT42="M")+(Setup!$B$9="Yes")*$M$8:$BT$8*($M42:$BT42=""))),""))</f>
        <v/>
      </c>
      <c r="I42" s="19">
        <f>IF($B42="","",IFERROR(SUMIFS($M42:$BT42,$M$6:$BT$6,I$9)/SUMPRODUCT(($M$6:$BT$6=I$9)*$M$7:$BT$7*(ISNUMBER($M42:$BT42)+($M42:$BT42="M")+(Setup!$B$9="Yes")*$M$8:$BT$8*($M42:$BT42=""))),""))</f>
        <v/>
      </c>
      <c r="J42" s="19">
        <f>IF($B42="","",IFERROR(SUMIFS($M42:$BT42,$M$6:$BT$6,J$9)/SUMPRODUCT(($M$6:$BT$6=J$9)*$M$7:$BT$7*(ISNUMBER($M42:$BT42)+($M42:$BT42="M")+(Setup!$B$9="Yes")*$M$8:$BT$8*($M42:$BT42=""))),""))</f>
        <v/>
      </c>
      <c r="K42" s="19">
        <f>IF($B42="","",IFERROR(SUMIFS($M42:$BT42,$M$6:$BT$6,K$9)/SUMPRODUCT(($M$6:$BT$6=K$9)*$M$7:$BT$7*(ISNUMBER($M42:$BT42)+($M42:$BT42="M")+(Setup!$B$9="Yes")*$M$8:$BT$8*($M42:$BT42=""))),""))</f>
        <v/>
      </c>
      <c r="L42" s="19">
        <f>IF($B42="","",IFERROR(SUMIFS($M42:$BT42,$M$6:$BT$6,L$9)/SUMPRODUCT(($M$6:$BT$6=L$9)*$M$7:$BT$7*(ISNUMBER($M42:$BT42)+($M42:$BT42="M")+(Setup!$B$9="Yes")*$M$8:$BT$8*($M42:$BT42=""))),""))</f>
        <v/>
      </c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  <c r="AA42" s="56" t="n"/>
      <c r="AB42" s="56" t="n"/>
      <c r="AC42" s="56" t="n"/>
      <c r="AD42" s="56" t="n"/>
      <c r="AE42" s="56" t="n"/>
      <c r="AF42" s="56" t="n"/>
      <c r="AG42" s="56" t="n"/>
      <c r="AH42" s="56" t="n"/>
      <c r="AI42" s="56" t="n"/>
      <c r="AJ42" s="56" t="n"/>
      <c r="AK42" s="56" t="n"/>
      <c r="AL42" s="56" t="n"/>
      <c r="AM42" s="56" t="n"/>
      <c r="AN42" s="56" t="n"/>
      <c r="AO42" s="56" t="n"/>
      <c r="AP42" s="56" t="n"/>
      <c r="AQ42" s="56" t="n"/>
      <c r="AR42" s="56" t="n"/>
      <c r="AS42" s="56" t="n"/>
      <c r="AT42" s="56" t="n"/>
      <c r="AU42" s="56" t="n"/>
      <c r="AV42" s="56" t="n"/>
      <c r="AW42" s="56" t="n"/>
      <c r="AX42" s="56" t="n"/>
      <c r="AY42" s="56" t="n"/>
      <c r="AZ42" s="56" t="n"/>
      <c r="BA42" s="56" t="n"/>
      <c r="BB42" s="56" t="n"/>
      <c r="BC42" s="56" t="n"/>
      <c r="BD42" s="56" t="n"/>
      <c r="BE42" s="56" t="n"/>
      <c r="BF42" s="56" t="n"/>
      <c r="BG42" s="56" t="n"/>
      <c r="BH42" s="56" t="n"/>
      <c r="BI42" s="56" t="n"/>
      <c r="BJ42" s="56" t="n"/>
      <c r="BK42" s="56" t="n"/>
      <c r="BL42" s="56" t="n"/>
      <c r="BM42" s="56" t="n"/>
      <c r="BN42" s="56" t="n"/>
      <c r="BO42" s="56" t="n"/>
      <c r="BP42" s="56" t="n"/>
      <c r="BQ42" s="56" t="n"/>
      <c r="BR42" s="56" t="n"/>
      <c r="BS42" s="56" t="n"/>
      <c r="BT42" s="56" t="n"/>
    </row>
    <row r="43">
      <c r="A43" s="17" t="n">
        <v>34</v>
      </c>
      <c r="B43" s="53">
        <f>IF(Roster!B39="","",Roster!B39)</f>
        <v/>
      </c>
      <c r="C43" s="54">
        <f>IF($B43="","",IFERROR(SUMPRODUCT($H$3:$L$3,H43:L43)/SUMPRODUCT($H$3:$L$3,--ISNUMBER(H43:L43)),""))</f>
        <v/>
      </c>
      <c r="D43" s="55">
        <f>IF(C43="","",VLOOKUP(C43,Setup!$D$12:$E$23,2,TRUE))</f>
        <v/>
      </c>
      <c r="E43" s="40">
        <f>IF($B43="","",IFERROR(SUMPRODUCT($M$8:$BT$8*ISNUMBER($M43:$BT43))/SUMPRODUCT($M$8:$BT$8*($M43:$BT43&lt;&gt;"EX")),""))</f>
        <v/>
      </c>
      <c r="F43" s="34">
        <f>IF($B43="","",SUMPRODUCT($M$8:$BT$8*($M43:$BT43=""))+COUNTIF($M43:$BT43,"M"))</f>
        <v/>
      </c>
      <c r="G43" s="40">
        <f>IF($B43="","",IFERROR(SUM($M43:$BT43)/SUMPRODUCT($M$7:$BT$7*ISNUMBER($M43:$BT43)),""))</f>
        <v/>
      </c>
      <c r="H43" s="19">
        <f>IF($B43="","",IFERROR(SUMIFS($M43:$BT43,$M$6:$BT$6,H$9)/SUMPRODUCT(($M$6:$BT$6=H$9)*$M$7:$BT$7*(ISNUMBER($M43:$BT43)+($M43:$BT43="M")+(Setup!$B$9="Yes")*$M$8:$BT$8*($M43:$BT43=""))),""))</f>
        <v/>
      </c>
      <c r="I43" s="19">
        <f>IF($B43="","",IFERROR(SUMIFS($M43:$BT43,$M$6:$BT$6,I$9)/SUMPRODUCT(($M$6:$BT$6=I$9)*$M$7:$BT$7*(ISNUMBER($M43:$BT43)+($M43:$BT43="M")+(Setup!$B$9="Yes")*$M$8:$BT$8*($M43:$BT43=""))),""))</f>
        <v/>
      </c>
      <c r="J43" s="19">
        <f>IF($B43="","",IFERROR(SUMIFS($M43:$BT43,$M$6:$BT$6,J$9)/SUMPRODUCT(($M$6:$BT$6=J$9)*$M$7:$BT$7*(ISNUMBER($M43:$BT43)+($M43:$BT43="M")+(Setup!$B$9="Yes")*$M$8:$BT$8*($M43:$BT43=""))),""))</f>
        <v/>
      </c>
      <c r="K43" s="19">
        <f>IF($B43="","",IFERROR(SUMIFS($M43:$BT43,$M$6:$BT$6,K$9)/SUMPRODUCT(($M$6:$BT$6=K$9)*$M$7:$BT$7*(ISNUMBER($M43:$BT43)+($M43:$BT43="M")+(Setup!$B$9="Yes")*$M$8:$BT$8*($M43:$BT43=""))),""))</f>
        <v/>
      </c>
      <c r="L43" s="19">
        <f>IF($B43="","",IFERROR(SUMIFS($M43:$BT43,$M$6:$BT$6,L$9)/SUMPRODUCT(($M$6:$BT$6=L$9)*$M$7:$BT$7*(ISNUMBER($M43:$BT43)+($M43:$BT43="M")+(Setup!$B$9="Yes")*$M$8:$BT$8*($M43:$BT43=""))),""))</f>
        <v/>
      </c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  <c r="AC43" s="56" t="n"/>
      <c r="AD43" s="56" t="n"/>
      <c r="AE43" s="56" t="n"/>
      <c r="AF43" s="56" t="n"/>
      <c r="AG43" s="56" t="n"/>
      <c r="AH43" s="56" t="n"/>
      <c r="AI43" s="56" t="n"/>
      <c r="AJ43" s="56" t="n"/>
      <c r="AK43" s="56" t="n"/>
      <c r="AL43" s="56" t="n"/>
      <c r="AM43" s="56" t="n"/>
      <c r="AN43" s="56" t="n"/>
      <c r="AO43" s="56" t="n"/>
      <c r="AP43" s="56" t="n"/>
      <c r="AQ43" s="56" t="n"/>
      <c r="AR43" s="56" t="n"/>
      <c r="AS43" s="56" t="n"/>
      <c r="AT43" s="56" t="n"/>
      <c r="AU43" s="56" t="n"/>
      <c r="AV43" s="56" t="n"/>
      <c r="AW43" s="56" t="n"/>
      <c r="AX43" s="56" t="n"/>
      <c r="AY43" s="56" t="n"/>
      <c r="AZ43" s="56" t="n"/>
      <c r="BA43" s="56" t="n"/>
      <c r="BB43" s="56" t="n"/>
      <c r="BC43" s="56" t="n"/>
      <c r="BD43" s="56" t="n"/>
      <c r="BE43" s="56" t="n"/>
      <c r="BF43" s="56" t="n"/>
      <c r="BG43" s="56" t="n"/>
      <c r="BH43" s="56" t="n"/>
      <c r="BI43" s="56" t="n"/>
      <c r="BJ43" s="56" t="n"/>
      <c r="BK43" s="56" t="n"/>
      <c r="BL43" s="56" t="n"/>
      <c r="BM43" s="56" t="n"/>
      <c r="BN43" s="56" t="n"/>
      <c r="BO43" s="56" t="n"/>
      <c r="BP43" s="56" t="n"/>
      <c r="BQ43" s="56" t="n"/>
      <c r="BR43" s="56" t="n"/>
      <c r="BS43" s="56" t="n"/>
      <c r="BT43" s="56" t="n"/>
    </row>
    <row r="44">
      <c r="A44" s="17" t="n">
        <v>35</v>
      </c>
      <c r="B44" s="53">
        <f>IF(Roster!B40="","",Roster!B40)</f>
        <v/>
      </c>
      <c r="C44" s="54">
        <f>IF($B44="","",IFERROR(SUMPRODUCT($H$3:$L$3,H44:L44)/SUMPRODUCT($H$3:$L$3,--ISNUMBER(H44:L44)),""))</f>
        <v/>
      </c>
      <c r="D44" s="55">
        <f>IF(C44="","",VLOOKUP(C44,Setup!$D$12:$E$23,2,TRUE))</f>
        <v/>
      </c>
      <c r="E44" s="40">
        <f>IF($B44="","",IFERROR(SUMPRODUCT($M$8:$BT$8*ISNUMBER($M44:$BT44))/SUMPRODUCT($M$8:$BT$8*($M44:$BT44&lt;&gt;"EX")),""))</f>
        <v/>
      </c>
      <c r="F44" s="34">
        <f>IF($B44="","",SUMPRODUCT($M$8:$BT$8*($M44:$BT44=""))+COUNTIF($M44:$BT44,"M"))</f>
        <v/>
      </c>
      <c r="G44" s="40">
        <f>IF($B44="","",IFERROR(SUM($M44:$BT44)/SUMPRODUCT($M$7:$BT$7*ISNUMBER($M44:$BT44)),""))</f>
        <v/>
      </c>
      <c r="H44" s="19">
        <f>IF($B44="","",IFERROR(SUMIFS($M44:$BT44,$M$6:$BT$6,H$9)/SUMPRODUCT(($M$6:$BT$6=H$9)*$M$7:$BT$7*(ISNUMBER($M44:$BT44)+($M44:$BT44="M")+(Setup!$B$9="Yes")*$M$8:$BT$8*($M44:$BT44=""))),""))</f>
        <v/>
      </c>
      <c r="I44" s="19">
        <f>IF($B44="","",IFERROR(SUMIFS($M44:$BT44,$M$6:$BT$6,I$9)/SUMPRODUCT(($M$6:$BT$6=I$9)*$M$7:$BT$7*(ISNUMBER($M44:$BT44)+($M44:$BT44="M")+(Setup!$B$9="Yes")*$M$8:$BT$8*($M44:$BT44=""))),""))</f>
        <v/>
      </c>
      <c r="J44" s="19">
        <f>IF($B44="","",IFERROR(SUMIFS($M44:$BT44,$M$6:$BT$6,J$9)/SUMPRODUCT(($M$6:$BT$6=J$9)*$M$7:$BT$7*(ISNUMBER($M44:$BT44)+($M44:$BT44="M")+(Setup!$B$9="Yes")*$M$8:$BT$8*($M44:$BT44=""))),""))</f>
        <v/>
      </c>
      <c r="K44" s="19">
        <f>IF($B44="","",IFERROR(SUMIFS($M44:$BT44,$M$6:$BT$6,K$9)/SUMPRODUCT(($M$6:$BT$6=K$9)*$M$7:$BT$7*(ISNUMBER($M44:$BT44)+($M44:$BT44="M")+(Setup!$B$9="Yes")*$M$8:$BT$8*($M44:$BT44=""))),""))</f>
        <v/>
      </c>
      <c r="L44" s="19">
        <f>IF($B44="","",IFERROR(SUMIFS($M44:$BT44,$M$6:$BT$6,L$9)/SUMPRODUCT(($M$6:$BT$6=L$9)*$M$7:$BT$7*(ISNUMBER($M44:$BT44)+($M44:$BT44="M")+(Setup!$B$9="Yes")*$M$8:$BT$8*($M44:$BT44=""))),""))</f>
        <v/>
      </c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  <c r="Z44" s="56" t="n"/>
      <c r="AA44" s="56" t="n"/>
      <c r="AB44" s="56" t="n"/>
      <c r="AC44" s="56" t="n"/>
      <c r="AD44" s="56" t="n"/>
      <c r="AE44" s="56" t="n"/>
      <c r="AF44" s="56" t="n"/>
      <c r="AG44" s="56" t="n"/>
      <c r="AH44" s="56" t="n"/>
      <c r="AI44" s="56" t="n"/>
      <c r="AJ44" s="56" t="n"/>
      <c r="AK44" s="56" t="n"/>
      <c r="AL44" s="56" t="n"/>
      <c r="AM44" s="56" t="n"/>
      <c r="AN44" s="56" t="n"/>
      <c r="AO44" s="56" t="n"/>
      <c r="AP44" s="56" t="n"/>
      <c r="AQ44" s="56" t="n"/>
      <c r="AR44" s="56" t="n"/>
      <c r="AS44" s="56" t="n"/>
      <c r="AT44" s="56" t="n"/>
      <c r="AU44" s="56" t="n"/>
      <c r="AV44" s="56" t="n"/>
      <c r="AW44" s="56" t="n"/>
      <c r="AX44" s="56" t="n"/>
      <c r="AY44" s="56" t="n"/>
      <c r="AZ44" s="56" t="n"/>
      <c r="BA44" s="56" t="n"/>
      <c r="BB44" s="56" t="n"/>
      <c r="BC44" s="56" t="n"/>
      <c r="BD44" s="56" t="n"/>
      <c r="BE44" s="56" t="n"/>
      <c r="BF44" s="56" t="n"/>
      <c r="BG44" s="56" t="n"/>
      <c r="BH44" s="56" t="n"/>
      <c r="BI44" s="56" t="n"/>
      <c r="BJ44" s="56" t="n"/>
      <c r="BK44" s="56" t="n"/>
      <c r="BL44" s="56" t="n"/>
      <c r="BM44" s="56" t="n"/>
      <c r="BN44" s="56" t="n"/>
      <c r="BO44" s="56" t="n"/>
      <c r="BP44" s="56" t="n"/>
      <c r="BQ44" s="56" t="n"/>
      <c r="BR44" s="56" t="n"/>
      <c r="BS44" s="56" t="n"/>
      <c r="BT44" s="56" t="n"/>
    </row>
    <row r="45">
      <c r="A45" s="17" t="n">
        <v>36</v>
      </c>
      <c r="B45" s="53">
        <f>IF(Roster!B41="","",Roster!B41)</f>
        <v/>
      </c>
      <c r="C45" s="54">
        <f>IF($B45="","",IFERROR(SUMPRODUCT($H$3:$L$3,H45:L45)/SUMPRODUCT($H$3:$L$3,--ISNUMBER(H45:L45)),""))</f>
        <v/>
      </c>
      <c r="D45" s="55">
        <f>IF(C45="","",VLOOKUP(C45,Setup!$D$12:$E$23,2,TRUE))</f>
        <v/>
      </c>
      <c r="E45" s="40">
        <f>IF($B45="","",IFERROR(SUMPRODUCT($M$8:$BT$8*ISNUMBER($M45:$BT45))/SUMPRODUCT($M$8:$BT$8*($M45:$BT45&lt;&gt;"EX")),""))</f>
        <v/>
      </c>
      <c r="F45" s="34">
        <f>IF($B45="","",SUMPRODUCT($M$8:$BT$8*($M45:$BT45=""))+COUNTIF($M45:$BT45,"M"))</f>
        <v/>
      </c>
      <c r="G45" s="40">
        <f>IF($B45="","",IFERROR(SUM($M45:$BT45)/SUMPRODUCT($M$7:$BT$7*ISNUMBER($M45:$BT45)),""))</f>
        <v/>
      </c>
      <c r="H45" s="19">
        <f>IF($B45="","",IFERROR(SUMIFS($M45:$BT45,$M$6:$BT$6,H$9)/SUMPRODUCT(($M$6:$BT$6=H$9)*$M$7:$BT$7*(ISNUMBER($M45:$BT45)+($M45:$BT45="M")+(Setup!$B$9="Yes")*$M$8:$BT$8*($M45:$BT45=""))),""))</f>
        <v/>
      </c>
      <c r="I45" s="19">
        <f>IF($B45="","",IFERROR(SUMIFS($M45:$BT45,$M$6:$BT$6,I$9)/SUMPRODUCT(($M$6:$BT$6=I$9)*$M$7:$BT$7*(ISNUMBER($M45:$BT45)+($M45:$BT45="M")+(Setup!$B$9="Yes")*$M$8:$BT$8*($M45:$BT45=""))),""))</f>
        <v/>
      </c>
      <c r="J45" s="19">
        <f>IF($B45="","",IFERROR(SUMIFS($M45:$BT45,$M$6:$BT$6,J$9)/SUMPRODUCT(($M$6:$BT$6=J$9)*$M$7:$BT$7*(ISNUMBER($M45:$BT45)+($M45:$BT45="M")+(Setup!$B$9="Yes")*$M$8:$BT$8*($M45:$BT45=""))),""))</f>
        <v/>
      </c>
      <c r="K45" s="19">
        <f>IF($B45="","",IFERROR(SUMIFS($M45:$BT45,$M$6:$BT$6,K$9)/SUMPRODUCT(($M$6:$BT$6=K$9)*$M$7:$BT$7*(ISNUMBER($M45:$BT45)+($M45:$BT45="M")+(Setup!$B$9="Yes")*$M$8:$BT$8*($M45:$BT45=""))),""))</f>
        <v/>
      </c>
      <c r="L45" s="19">
        <f>IF($B45="","",IFERROR(SUMIFS($M45:$BT45,$M$6:$BT$6,L$9)/SUMPRODUCT(($M$6:$BT$6=L$9)*$M$7:$BT$7*(ISNUMBER($M45:$BT45)+($M45:$BT45="M")+(Setup!$B$9="Yes")*$M$8:$BT$8*($M45:$BT45=""))),""))</f>
        <v/>
      </c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  <c r="AC45" s="56" t="n"/>
      <c r="AD45" s="56" t="n"/>
      <c r="AE45" s="56" t="n"/>
      <c r="AF45" s="56" t="n"/>
      <c r="AG45" s="56" t="n"/>
      <c r="AH45" s="56" t="n"/>
      <c r="AI45" s="56" t="n"/>
      <c r="AJ45" s="56" t="n"/>
      <c r="AK45" s="56" t="n"/>
      <c r="AL45" s="56" t="n"/>
      <c r="AM45" s="56" t="n"/>
      <c r="AN45" s="56" t="n"/>
      <c r="AO45" s="56" t="n"/>
      <c r="AP45" s="56" t="n"/>
      <c r="AQ45" s="56" t="n"/>
      <c r="AR45" s="56" t="n"/>
      <c r="AS45" s="56" t="n"/>
      <c r="AT45" s="56" t="n"/>
      <c r="AU45" s="56" t="n"/>
      <c r="AV45" s="56" t="n"/>
      <c r="AW45" s="56" t="n"/>
      <c r="AX45" s="56" t="n"/>
      <c r="AY45" s="56" t="n"/>
      <c r="AZ45" s="56" t="n"/>
      <c r="BA45" s="56" t="n"/>
      <c r="BB45" s="56" t="n"/>
      <c r="BC45" s="56" t="n"/>
      <c r="BD45" s="56" t="n"/>
      <c r="BE45" s="56" t="n"/>
      <c r="BF45" s="56" t="n"/>
      <c r="BG45" s="56" t="n"/>
      <c r="BH45" s="56" t="n"/>
      <c r="BI45" s="56" t="n"/>
      <c r="BJ45" s="56" t="n"/>
      <c r="BK45" s="56" t="n"/>
      <c r="BL45" s="56" t="n"/>
      <c r="BM45" s="56" t="n"/>
      <c r="BN45" s="56" t="n"/>
      <c r="BO45" s="56" t="n"/>
      <c r="BP45" s="56" t="n"/>
      <c r="BQ45" s="56" t="n"/>
      <c r="BR45" s="56" t="n"/>
      <c r="BS45" s="56" t="n"/>
      <c r="BT45" s="56" t="n"/>
    </row>
    <row r="46">
      <c r="A46" s="17" t="n">
        <v>37</v>
      </c>
      <c r="B46" s="53">
        <f>IF(Roster!B42="","",Roster!B42)</f>
        <v/>
      </c>
      <c r="C46" s="54">
        <f>IF($B46="","",IFERROR(SUMPRODUCT($H$3:$L$3,H46:L46)/SUMPRODUCT($H$3:$L$3,--ISNUMBER(H46:L46)),""))</f>
        <v/>
      </c>
      <c r="D46" s="55">
        <f>IF(C46="","",VLOOKUP(C46,Setup!$D$12:$E$23,2,TRUE))</f>
        <v/>
      </c>
      <c r="E46" s="40">
        <f>IF($B46="","",IFERROR(SUMPRODUCT($M$8:$BT$8*ISNUMBER($M46:$BT46))/SUMPRODUCT($M$8:$BT$8*($M46:$BT46&lt;&gt;"EX")),""))</f>
        <v/>
      </c>
      <c r="F46" s="34">
        <f>IF($B46="","",SUMPRODUCT($M$8:$BT$8*($M46:$BT46=""))+COUNTIF($M46:$BT46,"M"))</f>
        <v/>
      </c>
      <c r="G46" s="40">
        <f>IF($B46="","",IFERROR(SUM($M46:$BT46)/SUMPRODUCT($M$7:$BT$7*ISNUMBER($M46:$BT46)),""))</f>
        <v/>
      </c>
      <c r="H46" s="19">
        <f>IF($B46="","",IFERROR(SUMIFS($M46:$BT46,$M$6:$BT$6,H$9)/SUMPRODUCT(($M$6:$BT$6=H$9)*$M$7:$BT$7*(ISNUMBER($M46:$BT46)+($M46:$BT46="M")+(Setup!$B$9="Yes")*$M$8:$BT$8*($M46:$BT46=""))),""))</f>
        <v/>
      </c>
      <c r="I46" s="19">
        <f>IF($B46="","",IFERROR(SUMIFS($M46:$BT46,$M$6:$BT$6,I$9)/SUMPRODUCT(($M$6:$BT$6=I$9)*$M$7:$BT$7*(ISNUMBER($M46:$BT46)+($M46:$BT46="M")+(Setup!$B$9="Yes")*$M$8:$BT$8*($M46:$BT46=""))),""))</f>
        <v/>
      </c>
      <c r="J46" s="19">
        <f>IF($B46="","",IFERROR(SUMIFS($M46:$BT46,$M$6:$BT$6,J$9)/SUMPRODUCT(($M$6:$BT$6=J$9)*$M$7:$BT$7*(ISNUMBER($M46:$BT46)+($M46:$BT46="M")+(Setup!$B$9="Yes")*$M$8:$BT$8*($M46:$BT46=""))),""))</f>
        <v/>
      </c>
      <c r="K46" s="19">
        <f>IF($B46="","",IFERROR(SUMIFS($M46:$BT46,$M$6:$BT$6,K$9)/SUMPRODUCT(($M$6:$BT$6=K$9)*$M$7:$BT$7*(ISNUMBER($M46:$BT46)+($M46:$BT46="M")+(Setup!$B$9="Yes")*$M$8:$BT$8*($M46:$BT46=""))),""))</f>
        <v/>
      </c>
      <c r="L46" s="19">
        <f>IF($B46="","",IFERROR(SUMIFS($M46:$BT46,$M$6:$BT$6,L$9)/SUMPRODUCT(($M$6:$BT$6=L$9)*$M$7:$BT$7*(ISNUMBER($M46:$BT46)+($M46:$BT46="M")+(Setup!$B$9="Yes")*$M$8:$BT$8*($M46:$BT46=""))),""))</f>
        <v/>
      </c>
      <c r="M46" s="56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6" t="n"/>
      <c r="X46" s="56" t="n"/>
      <c r="Y46" s="56" t="n"/>
      <c r="Z46" s="56" t="n"/>
      <c r="AA46" s="56" t="n"/>
      <c r="AB46" s="56" t="n"/>
      <c r="AC46" s="56" t="n"/>
      <c r="AD46" s="56" t="n"/>
      <c r="AE46" s="56" t="n"/>
      <c r="AF46" s="56" t="n"/>
      <c r="AG46" s="56" t="n"/>
      <c r="AH46" s="56" t="n"/>
      <c r="AI46" s="56" t="n"/>
      <c r="AJ46" s="56" t="n"/>
      <c r="AK46" s="56" t="n"/>
      <c r="AL46" s="56" t="n"/>
      <c r="AM46" s="56" t="n"/>
      <c r="AN46" s="56" t="n"/>
      <c r="AO46" s="56" t="n"/>
      <c r="AP46" s="56" t="n"/>
      <c r="AQ46" s="56" t="n"/>
      <c r="AR46" s="56" t="n"/>
      <c r="AS46" s="56" t="n"/>
      <c r="AT46" s="56" t="n"/>
      <c r="AU46" s="56" t="n"/>
      <c r="AV46" s="56" t="n"/>
      <c r="AW46" s="56" t="n"/>
      <c r="AX46" s="56" t="n"/>
      <c r="AY46" s="56" t="n"/>
      <c r="AZ46" s="56" t="n"/>
      <c r="BA46" s="56" t="n"/>
      <c r="BB46" s="56" t="n"/>
      <c r="BC46" s="56" t="n"/>
      <c r="BD46" s="56" t="n"/>
      <c r="BE46" s="56" t="n"/>
      <c r="BF46" s="56" t="n"/>
      <c r="BG46" s="56" t="n"/>
      <c r="BH46" s="56" t="n"/>
      <c r="BI46" s="56" t="n"/>
      <c r="BJ46" s="56" t="n"/>
      <c r="BK46" s="56" t="n"/>
      <c r="BL46" s="56" t="n"/>
      <c r="BM46" s="56" t="n"/>
      <c r="BN46" s="56" t="n"/>
      <c r="BO46" s="56" t="n"/>
      <c r="BP46" s="56" t="n"/>
      <c r="BQ46" s="56" t="n"/>
      <c r="BR46" s="56" t="n"/>
      <c r="BS46" s="56" t="n"/>
      <c r="BT46" s="56" t="n"/>
    </row>
    <row r="47">
      <c r="A47" s="17" t="n">
        <v>38</v>
      </c>
      <c r="B47" s="53">
        <f>IF(Roster!B43="","",Roster!B43)</f>
        <v/>
      </c>
      <c r="C47" s="54">
        <f>IF($B47="","",IFERROR(SUMPRODUCT($H$3:$L$3,H47:L47)/SUMPRODUCT($H$3:$L$3,--ISNUMBER(H47:L47)),""))</f>
        <v/>
      </c>
      <c r="D47" s="55">
        <f>IF(C47="","",VLOOKUP(C47,Setup!$D$12:$E$23,2,TRUE))</f>
        <v/>
      </c>
      <c r="E47" s="40">
        <f>IF($B47="","",IFERROR(SUMPRODUCT($M$8:$BT$8*ISNUMBER($M47:$BT47))/SUMPRODUCT($M$8:$BT$8*($M47:$BT47&lt;&gt;"EX")),""))</f>
        <v/>
      </c>
      <c r="F47" s="34">
        <f>IF($B47="","",SUMPRODUCT($M$8:$BT$8*($M47:$BT47=""))+COUNTIF($M47:$BT47,"M"))</f>
        <v/>
      </c>
      <c r="G47" s="40">
        <f>IF($B47="","",IFERROR(SUM($M47:$BT47)/SUMPRODUCT($M$7:$BT$7*ISNUMBER($M47:$BT47)),""))</f>
        <v/>
      </c>
      <c r="H47" s="19">
        <f>IF($B47="","",IFERROR(SUMIFS($M47:$BT47,$M$6:$BT$6,H$9)/SUMPRODUCT(($M$6:$BT$6=H$9)*$M$7:$BT$7*(ISNUMBER($M47:$BT47)+($M47:$BT47="M")+(Setup!$B$9="Yes")*$M$8:$BT$8*($M47:$BT47=""))),""))</f>
        <v/>
      </c>
      <c r="I47" s="19">
        <f>IF($B47="","",IFERROR(SUMIFS($M47:$BT47,$M$6:$BT$6,I$9)/SUMPRODUCT(($M$6:$BT$6=I$9)*$M$7:$BT$7*(ISNUMBER($M47:$BT47)+($M47:$BT47="M")+(Setup!$B$9="Yes")*$M$8:$BT$8*($M47:$BT47=""))),""))</f>
        <v/>
      </c>
      <c r="J47" s="19">
        <f>IF($B47="","",IFERROR(SUMIFS($M47:$BT47,$M$6:$BT$6,J$9)/SUMPRODUCT(($M$6:$BT$6=J$9)*$M$7:$BT$7*(ISNUMBER($M47:$BT47)+($M47:$BT47="M")+(Setup!$B$9="Yes")*$M$8:$BT$8*($M47:$BT47=""))),""))</f>
        <v/>
      </c>
      <c r="K47" s="19">
        <f>IF($B47="","",IFERROR(SUMIFS($M47:$BT47,$M$6:$BT$6,K$9)/SUMPRODUCT(($M$6:$BT$6=K$9)*$M$7:$BT$7*(ISNUMBER($M47:$BT47)+($M47:$BT47="M")+(Setup!$B$9="Yes")*$M$8:$BT$8*($M47:$BT47=""))),""))</f>
        <v/>
      </c>
      <c r="L47" s="19">
        <f>IF($B47="","",IFERROR(SUMIFS($M47:$BT47,$M$6:$BT$6,L$9)/SUMPRODUCT(($M$6:$BT$6=L$9)*$M$7:$BT$7*(ISNUMBER($M47:$BT47)+($M47:$BT47="M")+(Setup!$B$9="Yes")*$M$8:$BT$8*($M47:$BT47=""))),""))</f>
        <v/>
      </c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  <c r="AC47" s="56" t="n"/>
      <c r="AD47" s="56" t="n"/>
      <c r="AE47" s="56" t="n"/>
      <c r="AF47" s="56" t="n"/>
      <c r="AG47" s="56" t="n"/>
      <c r="AH47" s="56" t="n"/>
      <c r="AI47" s="56" t="n"/>
      <c r="AJ47" s="56" t="n"/>
      <c r="AK47" s="56" t="n"/>
      <c r="AL47" s="56" t="n"/>
      <c r="AM47" s="56" t="n"/>
      <c r="AN47" s="56" t="n"/>
      <c r="AO47" s="56" t="n"/>
      <c r="AP47" s="56" t="n"/>
      <c r="AQ47" s="56" t="n"/>
      <c r="AR47" s="56" t="n"/>
      <c r="AS47" s="56" t="n"/>
      <c r="AT47" s="56" t="n"/>
      <c r="AU47" s="56" t="n"/>
      <c r="AV47" s="56" t="n"/>
      <c r="AW47" s="56" t="n"/>
      <c r="AX47" s="56" t="n"/>
      <c r="AY47" s="56" t="n"/>
      <c r="AZ47" s="56" t="n"/>
      <c r="BA47" s="56" t="n"/>
      <c r="BB47" s="56" t="n"/>
      <c r="BC47" s="56" t="n"/>
      <c r="BD47" s="56" t="n"/>
      <c r="BE47" s="56" t="n"/>
      <c r="BF47" s="56" t="n"/>
      <c r="BG47" s="56" t="n"/>
      <c r="BH47" s="56" t="n"/>
      <c r="BI47" s="56" t="n"/>
      <c r="BJ47" s="56" t="n"/>
      <c r="BK47" s="56" t="n"/>
      <c r="BL47" s="56" t="n"/>
      <c r="BM47" s="56" t="n"/>
      <c r="BN47" s="56" t="n"/>
      <c r="BO47" s="56" t="n"/>
      <c r="BP47" s="56" t="n"/>
      <c r="BQ47" s="56" t="n"/>
      <c r="BR47" s="56" t="n"/>
      <c r="BS47" s="56" t="n"/>
      <c r="BT47" s="56" t="n"/>
    </row>
    <row r="48">
      <c r="A48" s="17" t="n">
        <v>39</v>
      </c>
      <c r="B48" s="53">
        <f>IF(Roster!B44="","",Roster!B44)</f>
        <v/>
      </c>
      <c r="C48" s="54">
        <f>IF($B48="","",IFERROR(SUMPRODUCT($H$3:$L$3,H48:L48)/SUMPRODUCT($H$3:$L$3,--ISNUMBER(H48:L48)),""))</f>
        <v/>
      </c>
      <c r="D48" s="55">
        <f>IF(C48="","",VLOOKUP(C48,Setup!$D$12:$E$23,2,TRUE))</f>
        <v/>
      </c>
      <c r="E48" s="40">
        <f>IF($B48="","",IFERROR(SUMPRODUCT($M$8:$BT$8*ISNUMBER($M48:$BT48))/SUMPRODUCT($M$8:$BT$8*($M48:$BT48&lt;&gt;"EX")),""))</f>
        <v/>
      </c>
      <c r="F48" s="34">
        <f>IF($B48="","",SUMPRODUCT($M$8:$BT$8*($M48:$BT48=""))+COUNTIF($M48:$BT48,"M"))</f>
        <v/>
      </c>
      <c r="G48" s="40">
        <f>IF($B48="","",IFERROR(SUM($M48:$BT48)/SUMPRODUCT($M$7:$BT$7*ISNUMBER($M48:$BT48)),""))</f>
        <v/>
      </c>
      <c r="H48" s="19">
        <f>IF($B48="","",IFERROR(SUMIFS($M48:$BT48,$M$6:$BT$6,H$9)/SUMPRODUCT(($M$6:$BT$6=H$9)*$M$7:$BT$7*(ISNUMBER($M48:$BT48)+($M48:$BT48="M")+(Setup!$B$9="Yes")*$M$8:$BT$8*($M48:$BT48=""))),""))</f>
        <v/>
      </c>
      <c r="I48" s="19">
        <f>IF($B48="","",IFERROR(SUMIFS($M48:$BT48,$M$6:$BT$6,I$9)/SUMPRODUCT(($M$6:$BT$6=I$9)*$M$7:$BT$7*(ISNUMBER($M48:$BT48)+($M48:$BT48="M")+(Setup!$B$9="Yes")*$M$8:$BT$8*($M48:$BT48=""))),""))</f>
        <v/>
      </c>
      <c r="J48" s="19">
        <f>IF($B48="","",IFERROR(SUMIFS($M48:$BT48,$M$6:$BT$6,J$9)/SUMPRODUCT(($M$6:$BT$6=J$9)*$M$7:$BT$7*(ISNUMBER($M48:$BT48)+($M48:$BT48="M")+(Setup!$B$9="Yes")*$M$8:$BT$8*($M48:$BT48=""))),""))</f>
        <v/>
      </c>
      <c r="K48" s="19">
        <f>IF($B48="","",IFERROR(SUMIFS($M48:$BT48,$M$6:$BT$6,K$9)/SUMPRODUCT(($M$6:$BT$6=K$9)*$M$7:$BT$7*(ISNUMBER($M48:$BT48)+($M48:$BT48="M")+(Setup!$B$9="Yes")*$M$8:$BT$8*($M48:$BT48=""))),""))</f>
        <v/>
      </c>
      <c r="L48" s="19">
        <f>IF($B48="","",IFERROR(SUMIFS($M48:$BT48,$M$6:$BT$6,L$9)/SUMPRODUCT(($M$6:$BT$6=L$9)*$M$7:$BT$7*(ISNUMBER($M48:$BT48)+($M48:$BT48="M")+(Setup!$B$9="Yes")*$M$8:$BT$8*($M48:$BT48=""))),""))</f>
        <v/>
      </c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  <c r="AA48" s="56" t="n"/>
      <c r="AB48" s="56" t="n"/>
      <c r="AC48" s="56" t="n"/>
      <c r="AD48" s="56" t="n"/>
      <c r="AE48" s="56" t="n"/>
      <c r="AF48" s="56" t="n"/>
      <c r="AG48" s="56" t="n"/>
      <c r="AH48" s="56" t="n"/>
      <c r="AI48" s="56" t="n"/>
      <c r="AJ48" s="56" t="n"/>
      <c r="AK48" s="56" t="n"/>
      <c r="AL48" s="56" t="n"/>
      <c r="AM48" s="56" t="n"/>
      <c r="AN48" s="56" t="n"/>
      <c r="AO48" s="56" t="n"/>
      <c r="AP48" s="56" t="n"/>
      <c r="AQ48" s="56" t="n"/>
      <c r="AR48" s="56" t="n"/>
      <c r="AS48" s="56" t="n"/>
      <c r="AT48" s="56" t="n"/>
      <c r="AU48" s="56" t="n"/>
      <c r="AV48" s="56" t="n"/>
      <c r="AW48" s="56" t="n"/>
      <c r="AX48" s="56" t="n"/>
      <c r="AY48" s="56" t="n"/>
      <c r="AZ48" s="56" t="n"/>
      <c r="BA48" s="56" t="n"/>
      <c r="BB48" s="56" t="n"/>
      <c r="BC48" s="56" t="n"/>
      <c r="BD48" s="56" t="n"/>
      <c r="BE48" s="56" t="n"/>
      <c r="BF48" s="56" t="n"/>
      <c r="BG48" s="56" t="n"/>
      <c r="BH48" s="56" t="n"/>
      <c r="BI48" s="56" t="n"/>
      <c r="BJ48" s="56" t="n"/>
      <c r="BK48" s="56" t="n"/>
      <c r="BL48" s="56" t="n"/>
      <c r="BM48" s="56" t="n"/>
      <c r="BN48" s="56" t="n"/>
      <c r="BO48" s="56" t="n"/>
      <c r="BP48" s="56" t="n"/>
      <c r="BQ48" s="56" t="n"/>
      <c r="BR48" s="56" t="n"/>
      <c r="BS48" s="56" t="n"/>
      <c r="BT48" s="56" t="n"/>
    </row>
    <row r="49">
      <c r="A49" s="17" t="n">
        <v>40</v>
      </c>
      <c r="B49" s="53">
        <f>IF(Roster!B45="","",Roster!B45)</f>
        <v/>
      </c>
      <c r="C49" s="54">
        <f>IF($B49="","",IFERROR(SUMPRODUCT($H$3:$L$3,H49:L49)/SUMPRODUCT($H$3:$L$3,--ISNUMBER(H49:L49)),""))</f>
        <v/>
      </c>
      <c r="D49" s="55">
        <f>IF(C49="","",VLOOKUP(C49,Setup!$D$12:$E$23,2,TRUE))</f>
        <v/>
      </c>
      <c r="E49" s="40">
        <f>IF($B49="","",IFERROR(SUMPRODUCT($M$8:$BT$8*ISNUMBER($M49:$BT49))/SUMPRODUCT($M$8:$BT$8*($M49:$BT49&lt;&gt;"EX")),""))</f>
        <v/>
      </c>
      <c r="F49" s="34">
        <f>IF($B49="","",SUMPRODUCT($M$8:$BT$8*($M49:$BT49=""))+COUNTIF($M49:$BT49,"M"))</f>
        <v/>
      </c>
      <c r="G49" s="40">
        <f>IF($B49="","",IFERROR(SUM($M49:$BT49)/SUMPRODUCT($M$7:$BT$7*ISNUMBER($M49:$BT49)),""))</f>
        <v/>
      </c>
      <c r="H49" s="19">
        <f>IF($B49="","",IFERROR(SUMIFS($M49:$BT49,$M$6:$BT$6,H$9)/SUMPRODUCT(($M$6:$BT$6=H$9)*$M$7:$BT$7*(ISNUMBER($M49:$BT49)+($M49:$BT49="M")+(Setup!$B$9="Yes")*$M$8:$BT$8*($M49:$BT49=""))),""))</f>
        <v/>
      </c>
      <c r="I49" s="19">
        <f>IF($B49="","",IFERROR(SUMIFS($M49:$BT49,$M$6:$BT$6,I$9)/SUMPRODUCT(($M$6:$BT$6=I$9)*$M$7:$BT$7*(ISNUMBER($M49:$BT49)+($M49:$BT49="M")+(Setup!$B$9="Yes")*$M$8:$BT$8*($M49:$BT49=""))),""))</f>
        <v/>
      </c>
      <c r="J49" s="19">
        <f>IF($B49="","",IFERROR(SUMIFS($M49:$BT49,$M$6:$BT$6,J$9)/SUMPRODUCT(($M$6:$BT$6=J$9)*$M$7:$BT$7*(ISNUMBER($M49:$BT49)+($M49:$BT49="M")+(Setup!$B$9="Yes")*$M$8:$BT$8*($M49:$BT49=""))),""))</f>
        <v/>
      </c>
      <c r="K49" s="19">
        <f>IF($B49="","",IFERROR(SUMIFS($M49:$BT49,$M$6:$BT$6,K$9)/SUMPRODUCT(($M$6:$BT$6=K$9)*$M$7:$BT$7*(ISNUMBER($M49:$BT49)+($M49:$BT49="M")+(Setup!$B$9="Yes")*$M$8:$BT$8*($M49:$BT49=""))),""))</f>
        <v/>
      </c>
      <c r="L49" s="19">
        <f>IF($B49="","",IFERROR(SUMIFS($M49:$BT49,$M$6:$BT$6,L$9)/SUMPRODUCT(($M$6:$BT$6=L$9)*$M$7:$BT$7*(ISNUMBER($M49:$BT49)+($M49:$BT49="M")+(Setup!$B$9="Yes")*$M$8:$BT$8*($M49:$BT49=""))),""))</f>
        <v/>
      </c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  <c r="AC49" s="56" t="n"/>
      <c r="AD49" s="56" t="n"/>
      <c r="AE49" s="56" t="n"/>
      <c r="AF49" s="56" t="n"/>
      <c r="AG49" s="56" t="n"/>
      <c r="AH49" s="56" t="n"/>
      <c r="AI49" s="56" t="n"/>
      <c r="AJ49" s="56" t="n"/>
      <c r="AK49" s="56" t="n"/>
      <c r="AL49" s="56" t="n"/>
      <c r="AM49" s="56" t="n"/>
      <c r="AN49" s="56" t="n"/>
      <c r="AO49" s="56" t="n"/>
      <c r="AP49" s="56" t="n"/>
      <c r="AQ49" s="56" t="n"/>
      <c r="AR49" s="56" t="n"/>
      <c r="AS49" s="56" t="n"/>
      <c r="AT49" s="56" t="n"/>
      <c r="AU49" s="56" t="n"/>
      <c r="AV49" s="56" t="n"/>
      <c r="AW49" s="56" t="n"/>
      <c r="AX49" s="56" t="n"/>
      <c r="AY49" s="56" t="n"/>
      <c r="AZ49" s="56" t="n"/>
      <c r="BA49" s="56" t="n"/>
      <c r="BB49" s="56" t="n"/>
      <c r="BC49" s="56" t="n"/>
      <c r="BD49" s="56" t="n"/>
      <c r="BE49" s="56" t="n"/>
      <c r="BF49" s="56" t="n"/>
      <c r="BG49" s="56" t="n"/>
      <c r="BH49" s="56" t="n"/>
      <c r="BI49" s="56" t="n"/>
      <c r="BJ49" s="56" t="n"/>
      <c r="BK49" s="56" t="n"/>
      <c r="BL49" s="56" t="n"/>
      <c r="BM49" s="56" t="n"/>
      <c r="BN49" s="56" t="n"/>
      <c r="BO49" s="56" t="n"/>
      <c r="BP49" s="56" t="n"/>
      <c r="BQ49" s="56" t="n"/>
      <c r="BR49" s="56" t="n"/>
      <c r="BS49" s="56" t="n"/>
      <c r="BT49" s="56" t="n"/>
    </row>
  </sheetData>
  <conditionalFormatting sqref="M10:BT49">
    <cfRule type="expression" priority="1" dxfId="4">
      <formula>UPPER(M10)="M"</formula>
    </cfRule>
    <cfRule type="expression" priority="2" dxfId="5">
      <formula>UPPER(M10)="EX"</formula>
    </cfRule>
    <cfRule type="expression" priority="3" dxfId="6">
      <formula>AND(M10="",M$8=1,$B10&lt;&gt;"")</formula>
    </cfRule>
  </conditionalFormatting>
  <conditionalFormatting sqref="C10:D49">
    <cfRule type="expression" priority="4" dxfId="7">
      <formula>AND(ISNUMBER($C10),$C10&lt;$C$3)</formula>
    </cfRule>
  </conditionalFormatting>
  <conditionalFormatting sqref="E10:E49">
    <cfRule type="expression" priority="5" dxfId="7">
      <formula>AND(ISNUMBER($E10),$E10&lt;$E$3)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E6C75"/>
    <outlinePr summaryBelow="1" summaryRight="1"/>
    <pageSetUpPr/>
  </sheetPr>
  <dimension ref="A1:R4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9" customWidth="1" min="3" max="3"/>
    <col width="10" customWidth="1" min="4" max="4"/>
    <col width="10" customWidth="1" min="5" max="5"/>
    <col width="11" customWidth="1" min="6" max="6"/>
    <col width="7" customWidth="1" min="7" max="7"/>
    <col width="11" customWidth="1" min="8" max="8"/>
    <col width="9" customWidth="1" min="9" max="9"/>
    <col width="9" customWidth="1" min="10" max="10"/>
    <col width="11" customWidth="1" min="11" max="11"/>
    <col width="3" customWidth="1" min="12" max="12"/>
    <col hidden="1" width="3" customWidth="1" min="13" max="13"/>
    <col width="6" customWidth="1" min="14" max="14"/>
    <col width="22" customWidth="1" min="15" max="15"/>
    <col width="11" customWidth="1" min="16" max="16"/>
    <col width="9" customWidth="1" min="17" max="17"/>
    <col width="10" customWidth="1" min="18" max="18"/>
  </cols>
  <sheetData>
    <row r="1" ht="30" customHeight="1">
      <c r="A1" s="1" t="inlineStr">
        <is>
          <t>Standings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" customHeight="1">
      <c r="A2" s="3" t="inlineStr">
        <is>
          <t>Relative view of the class: grade and turn-in rate combined, with rank and percentile.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4">
      <c r="A4" s="28" t="inlineStr">
        <is>
          <t>Performance index = overall grade and submission rate, weighted as on Setup. Rank 1 = highest.</t>
        </is>
      </c>
    </row>
    <row r="5">
      <c r="A5" s="28" t="inlineStr">
        <is>
          <t>Curved grade is optional: it assigns letters by percentile (see Setup). Use it only if your school allows relative grading.</t>
        </is>
      </c>
    </row>
    <row r="7">
      <c r="A7" s="16" t="inlineStr">
        <is>
          <t>#</t>
        </is>
      </c>
      <c r="B7" s="16" t="inlineStr">
        <is>
          <t>Student</t>
        </is>
      </c>
      <c r="C7" s="16" t="inlineStr">
        <is>
          <t>Overall</t>
        </is>
      </c>
      <c r="D7" s="16" t="inlineStr">
        <is>
          <t>Turned in</t>
        </is>
      </c>
      <c r="E7" s="16" t="inlineStr">
        <is>
          <t>Score %</t>
        </is>
      </c>
      <c r="F7" s="16" t="inlineStr">
        <is>
          <t>Perf. index</t>
        </is>
      </c>
      <c r="G7" s="16" t="inlineStr">
        <is>
          <t>Rank</t>
        </is>
      </c>
      <c r="H7" s="16" t="inlineStr">
        <is>
          <t>Percentile</t>
        </is>
      </c>
      <c r="I7" s="16" t="inlineStr">
        <is>
          <t>z-score</t>
        </is>
      </c>
      <c r="J7" s="16" t="inlineStr">
        <is>
          <t>Curved</t>
        </is>
      </c>
      <c r="K7" s="16" t="inlineStr">
        <is>
          <t>Status</t>
        </is>
      </c>
      <c r="M7" s="16" t="inlineStr">
        <is>
          <t>tie</t>
        </is>
      </c>
      <c r="N7" s="16" t="inlineStr">
        <is>
          <t>Rank</t>
        </is>
      </c>
      <c r="O7" s="16" t="inlineStr">
        <is>
          <t>Student (highest first)</t>
        </is>
      </c>
      <c r="P7" s="16" t="inlineStr">
        <is>
          <t>Perf. index</t>
        </is>
      </c>
      <c r="Q7" s="16" t="inlineStr">
        <is>
          <t>Percentile</t>
        </is>
      </c>
      <c r="R7" s="16" t="inlineStr">
        <is>
          <t>Status</t>
        </is>
      </c>
    </row>
    <row r="8">
      <c r="A8" s="17" t="n">
        <v>1</v>
      </c>
      <c r="B8" s="53">
        <f>Gradebook!B10</f>
        <v/>
      </c>
      <c r="C8" s="57">
        <f>Gradebook!C10</f>
        <v/>
      </c>
      <c r="D8" s="40">
        <f>Gradebook!E10</f>
        <v/>
      </c>
      <c r="E8" s="40">
        <f>Gradebook!G10</f>
        <v/>
      </c>
      <c r="F8" s="58">
        <f>IF(B8="","",IF(AND(NOT(ISNUMBER(C8)),NOT(ISNUMBER(D8))),"",(IF(ISNUMBER(C8),Setup!$B$22*C8,0)+IF(ISNUMBER(D8),Setup!$B$23*D8,0))/(IF(ISNUMBER(C8),Setup!$B$22,0)+IF(ISNUMBER(D8),Setup!$B$23,0))))</f>
        <v/>
      </c>
      <c r="G8" s="34">
        <f>IF(ISNUMBER(F8),RANK(F8,$F$8:$F$47,0),"")</f>
        <v/>
      </c>
      <c r="H8" s="40">
        <f>IF(ISNUMBER(F8),IF(COUNT($F$8:$F$47)&lt;=1,1,SUMPRODUCT(--($F$8:$F$47&lt;F8))/(COUNT($F$8:$F$47)-1)),"")</f>
        <v/>
      </c>
      <c r="I8" s="59">
        <f>IF(ISNUMBER(F8),IFERROR((F8-AVERAGE($F$8:$F$47))/STDEVP($F$8:$F$47),0),"")</f>
        <v/>
      </c>
      <c r="J8" s="60">
        <f>IF(ISNUMBER(H8),VLOOKUP(H8,Setup!$G$12:$H$16,2,TRUE),"")</f>
        <v/>
      </c>
      <c r="K8" s="60">
        <f>IF(B8="","",IF(OR(AND(ISNUMBER(C8),C8&lt;Setup!$B$27),AND(ISNUMBER(D8),D8&lt;Setup!$B$28)),"At risk",IF(OR(AND(ISNUMBER(C8),C8&lt;Setup!$B$27+0.1),AND(ISNUMBER(D8),D8&lt;Setup!$B$28+0.1)),"Watch","On track")))</f>
        <v/>
      </c>
      <c r="M8">
        <f>IF(ISNUMBER(F8),G8+SUMPRODUCT(--($F$7:F7=F8)),"")</f>
        <v/>
      </c>
      <c r="N8" s="34">
        <f>IF(1&gt;COUNT($F$8:$F$47),"",1)</f>
        <v/>
      </c>
      <c r="O8" s="61">
        <f>IF(N8="","",INDEX($B$8:$B$47,MATCH(N8,$M$8:$M$47,0)))</f>
        <v/>
      </c>
      <c r="P8" s="57">
        <f>IF(N8="","",INDEX($F$8:$F$47,MATCH(N8,$M$8:$M$47,0)))</f>
        <v/>
      </c>
      <c r="Q8" s="40">
        <f>IF(N8="","",INDEX($H$8:$H$47,MATCH(N8,$M$8:$M$47,0)))</f>
        <v/>
      </c>
      <c r="R8" s="60">
        <f>IF(N8="","",INDEX($K$8:$K$47,MATCH(N8,$M$8:$M$47,0)))</f>
        <v/>
      </c>
    </row>
    <row r="9">
      <c r="A9" s="17" t="n">
        <v>2</v>
      </c>
      <c r="B9" s="53">
        <f>Gradebook!B11</f>
        <v/>
      </c>
      <c r="C9" s="57">
        <f>Gradebook!C11</f>
        <v/>
      </c>
      <c r="D9" s="40">
        <f>Gradebook!E11</f>
        <v/>
      </c>
      <c r="E9" s="40">
        <f>Gradebook!G11</f>
        <v/>
      </c>
      <c r="F9" s="58">
        <f>IF(B9="","",IF(AND(NOT(ISNUMBER(C9)),NOT(ISNUMBER(D9))),"",(IF(ISNUMBER(C9),Setup!$B$22*C9,0)+IF(ISNUMBER(D9),Setup!$B$23*D9,0))/(IF(ISNUMBER(C9),Setup!$B$22,0)+IF(ISNUMBER(D9),Setup!$B$23,0))))</f>
        <v/>
      </c>
      <c r="G9" s="34">
        <f>IF(ISNUMBER(F9),RANK(F9,$F$8:$F$47,0),"")</f>
        <v/>
      </c>
      <c r="H9" s="40">
        <f>IF(ISNUMBER(F9),IF(COUNT($F$8:$F$47)&lt;=1,1,SUMPRODUCT(--($F$8:$F$47&lt;F9))/(COUNT($F$8:$F$47)-1)),"")</f>
        <v/>
      </c>
      <c r="I9" s="59">
        <f>IF(ISNUMBER(F9),IFERROR((F9-AVERAGE($F$8:$F$47))/STDEVP($F$8:$F$47),0),"")</f>
        <v/>
      </c>
      <c r="J9" s="60">
        <f>IF(ISNUMBER(H9),VLOOKUP(H9,Setup!$G$12:$H$16,2,TRUE),"")</f>
        <v/>
      </c>
      <c r="K9" s="60">
        <f>IF(B9="","",IF(OR(AND(ISNUMBER(C9),C9&lt;Setup!$B$27),AND(ISNUMBER(D9),D9&lt;Setup!$B$28)),"At risk",IF(OR(AND(ISNUMBER(C9),C9&lt;Setup!$B$27+0.1),AND(ISNUMBER(D9),D9&lt;Setup!$B$28+0.1)),"Watch","On track")))</f>
        <v/>
      </c>
      <c r="M9">
        <f>IF(ISNUMBER(F9),G9+SUMPRODUCT(--($F$7:F8=F9)),"")</f>
        <v/>
      </c>
      <c r="N9" s="34">
        <f>IF(2&gt;COUNT($F$8:$F$47),"",2)</f>
        <v/>
      </c>
      <c r="O9" s="61">
        <f>IF(N9="","",INDEX($B$8:$B$47,MATCH(N9,$M$8:$M$47,0)))</f>
        <v/>
      </c>
      <c r="P9" s="57">
        <f>IF(N9="","",INDEX($F$8:$F$47,MATCH(N9,$M$8:$M$47,0)))</f>
        <v/>
      </c>
      <c r="Q9" s="40">
        <f>IF(N9="","",INDEX($H$8:$H$47,MATCH(N9,$M$8:$M$47,0)))</f>
        <v/>
      </c>
      <c r="R9" s="60">
        <f>IF(N9="","",INDEX($K$8:$K$47,MATCH(N9,$M$8:$M$47,0)))</f>
        <v/>
      </c>
    </row>
    <row r="10">
      <c r="A10" s="17" t="n">
        <v>3</v>
      </c>
      <c r="B10" s="53">
        <f>Gradebook!B12</f>
        <v/>
      </c>
      <c r="C10" s="57">
        <f>Gradebook!C12</f>
        <v/>
      </c>
      <c r="D10" s="40">
        <f>Gradebook!E12</f>
        <v/>
      </c>
      <c r="E10" s="40">
        <f>Gradebook!G12</f>
        <v/>
      </c>
      <c r="F10" s="58">
        <f>IF(B10="","",IF(AND(NOT(ISNUMBER(C10)),NOT(ISNUMBER(D10))),"",(IF(ISNUMBER(C10),Setup!$B$22*C10,0)+IF(ISNUMBER(D10),Setup!$B$23*D10,0))/(IF(ISNUMBER(C10),Setup!$B$22,0)+IF(ISNUMBER(D10),Setup!$B$23,0))))</f>
        <v/>
      </c>
      <c r="G10" s="34">
        <f>IF(ISNUMBER(F10),RANK(F10,$F$8:$F$47,0),"")</f>
        <v/>
      </c>
      <c r="H10" s="40">
        <f>IF(ISNUMBER(F10),IF(COUNT($F$8:$F$47)&lt;=1,1,SUMPRODUCT(--($F$8:$F$47&lt;F10))/(COUNT($F$8:$F$47)-1)),"")</f>
        <v/>
      </c>
      <c r="I10" s="59">
        <f>IF(ISNUMBER(F10),IFERROR((F10-AVERAGE($F$8:$F$47))/STDEVP($F$8:$F$47),0),"")</f>
        <v/>
      </c>
      <c r="J10" s="60">
        <f>IF(ISNUMBER(H10),VLOOKUP(H10,Setup!$G$12:$H$16,2,TRUE),"")</f>
        <v/>
      </c>
      <c r="K10" s="60">
        <f>IF(B10="","",IF(OR(AND(ISNUMBER(C10),C10&lt;Setup!$B$27),AND(ISNUMBER(D10),D10&lt;Setup!$B$28)),"At risk",IF(OR(AND(ISNUMBER(C10),C10&lt;Setup!$B$27+0.1),AND(ISNUMBER(D10),D10&lt;Setup!$B$28+0.1)),"Watch","On track")))</f>
        <v/>
      </c>
      <c r="M10">
        <f>IF(ISNUMBER(F10),G10+SUMPRODUCT(--($F$7:F9=F10)),"")</f>
        <v/>
      </c>
      <c r="N10" s="34">
        <f>IF(3&gt;COUNT($F$8:$F$47),"",3)</f>
        <v/>
      </c>
      <c r="O10" s="61">
        <f>IF(N10="","",INDEX($B$8:$B$47,MATCH(N10,$M$8:$M$47,0)))</f>
        <v/>
      </c>
      <c r="P10" s="57">
        <f>IF(N10="","",INDEX($F$8:$F$47,MATCH(N10,$M$8:$M$47,0)))</f>
        <v/>
      </c>
      <c r="Q10" s="40">
        <f>IF(N10="","",INDEX($H$8:$H$47,MATCH(N10,$M$8:$M$47,0)))</f>
        <v/>
      </c>
      <c r="R10" s="60">
        <f>IF(N10="","",INDEX($K$8:$K$47,MATCH(N10,$M$8:$M$47,0)))</f>
        <v/>
      </c>
    </row>
    <row r="11">
      <c r="A11" s="17" t="n">
        <v>4</v>
      </c>
      <c r="B11" s="53">
        <f>Gradebook!B13</f>
        <v/>
      </c>
      <c r="C11" s="57">
        <f>Gradebook!C13</f>
        <v/>
      </c>
      <c r="D11" s="40">
        <f>Gradebook!E13</f>
        <v/>
      </c>
      <c r="E11" s="40">
        <f>Gradebook!G13</f>
        <v/>
      </c>
      <c r="F11" s="58">
        <f>IF(B11="","",IF(AND(NOT(ISNUMBER(C11)),NOT(ISNUMBER(D11))),"",(IF(ISNUMBER(C11),Setup!$B$22*C11,0)+IF(ISNUMBER(D11),Setup!$B$23*D11,0))/(IF(ISNUMBER(C11),Setup!$B$22,0)+IF(ISNUMBER(D11),Setup!$B$23,0))))</f>
        <v/>
      </c>
      <c r="G11" s="34">
        <f>IF(ISNUMBER(F11),RANK(F11,$F$8:$F$47,0),"")</f>
        <v/>
      </c>
      <c r="H11" s="40">
        <f>IF(ISNUMBER(F11),IF(COUNT($F$8:$F$47)&lt;=1,1,SUMPRODUCT(--($F$8:$F$47&lt;F11))/(COUNT($F$8:$F$47)-1)),"")</f>
        <v/>
      </c>
      <c r="I11" s="59">
        <f>IF(ISNUMBER(F11),IFERROR((F11-AVERAGE($F$8:$F$47))/STDEVP($F$8:$F$47),0),"")</f>
        <v/>
      </c>
      <c r="J11" s="60">
        <f>IF(ISNUMBER(H11),VLOOKUP(H11,Setup!$G$12:$H$16,2,TRUE),"")</f>
        <v/>
      </c>
      <c r="K11" s="60">
        <f>IF(B11="","",IF(OR(AND(ISNUMBER(C11),C11&lt;Setup!$B$27),AND(ISNUMBER(D11),D11&lt;Setup!$B$28)),"At risk",IF(OR(AND(ISNUMBER(C11),C11&lt;Setup!$B$27+0.1),AND(ISNUMBER(D11),D11&lt;Setup!$B$28+0.1)),"Watch","On track")))</f>
        <v/>
      </c>
      <c r="M11">
        <f>IF(ISNUMBER(F11),G11+SUMPRODUCT(--($F$7:F10=F11)),"")</f>
        <v/>
      </c>
      <c r="N11" s="34">
        <f>IF(4&gt;COUNT($F$8:$F$47),"",4)</f>
        <v/>
      </c>
      <c r="O11" s="61">
        <f>IF(N11="","",INDEX($B$8:$B$47,MATCH(N11,$M$8:$M$47,0)))</f>
        <v/>
      </c>
      <c r="P11" s="57">
        <f>IF(N11="","",INDEX($F$8:$F$47,MATCH(N11,$M$8:$M$47,0)))</f>
        <v/>
      </c>
      <c r="Q11" s="40">
        <f>IF(N11="","",INDEX($H$8:$H$47,MATCH(N11,$M$8:$M$47,0)))</f>
        <v/>
      </c>
      <c r="R11" s="60">
        <f>IF(N11="","",INDEX($K$8:$K$47,MATCH(N11,$M$8:$M$47,0)))</f>
        <v/>
      </c>
    </row>
    <row r="12">
      <c r="A12" s="17" t="n">
        <v>5</v>
      </c>
      <c r="B12" s="53">
        <f>Gradebook!B14</f>
        <v/>
      </c>
      <c r="C12" s="57">
        <f>Gradebook!C14</f>
        <v/>
      </c>
      <c r="D12" s="40">
        <f>Gradebook!E14</f>
        <v/>
      </c>
      <c r="E12" s="40">
        <f>Gradebook!G14</f>
        <v/>
      </c>
      <c r="F12" s="58">
        <f>IF(B12="","",IF(AND(NOT(ISNUMBER(C12)),NOT(ISNUMBER(D12))),"",(IF(ISNUMBER(C12),Setup!$B$22*C12,0)+IF(ISNUMBER(D12),Setup!$B$23*D12,0))/(IF(ISNUMBER(C12),Setup!$B$22,0)+IF(ISNUMBER(D12),Setup!$B$23,0))))</f>
        <v/>
      </c>
      <c r="G12" s="34">
        <f>IF(ISNUMBER(F12),RANK(F12,$F$8:$F$47,0),"")</f>
        <v/>
      </c>
      <c r="H12" s="40">
        <f>IF(ISNUMBER(F12),IF(COUNT($F$8:$F$47)&lt;=1,1,SUMPRODUCT(--($F$8:$F$47&lt;F12))/(COUNT($F$8:$F$47)-1)),"")</f>
        <v/>
      </c>
      <c r="I12" s="59">
        <f>IF(ISNUMBER(F12),IFERROR((F12-AVERAGE($F$8:$F$47))/STDEVP($F$8:$F$47),0),"")</f>
        <v/>
      </c>
      <c r="J12" s="60">
        <f>IF(ISNUMBER(H12),VLOOKUP(H12,Setup!$G$12:$H$16,2,TRUE),"")</f>
        <v/>
      </c>
      <c r="K12" s="60">
        <f>IF(B12="","",IF(OR(AND(ISNUMBER(C12),C12&lt;Setup!$B$27),AND(ISNUMBER(D12),D12&lt;Setup!$B$28)),"At risk",IF(OR(AND(ISNUMBER(C12),C12&lt;Setup!$B$27+0.1),AND(ISNUMBER(D12),D12&lt;Setup!$B$28+0.1)),"Watch","On track")))</f>
        <v/>
      </c>
      <c r="M12">
        <f>IF(ISNUMBER(F12),G12+SUMPRODUCT(--($F$7:F11=F12)),"")</f>
        <v/>
      </c>
      <c r="N12" s="34">
        <f>IF(5&gt;COUNT($F$8:$F$47),"",5)</f>
        <v/>
      </c>
      <c r="O12" s="61">
        <f>IF(N12="","",INDEX($B$8:$B$47,MATCH(N12,$M$8:$M$47,0)))</f>
        <v/>
      </c>
      <c r="P12" s="57">
        <f>IF(N12="","",INDEX($F$8:$F$47,MATCH(N12,$M$8:$M$47,0)))</f>
        <v/>
      </c>
      <c r="Q12" s="40">
        <f>IF(N12="","",INDEX($H$8:$H$47,MATCH(N12,$M$8:$M$47,0)))</f>
        <v/>
      </c>
      <c r="R12" s="60">
        <f>IF(N12="","",INDEX($K$8:$K$47,MATCH(N12,$M$8:$M$47,0)))</f>
        <v/>
      </c>
    </row>
    <row r="13">
      <c r="A13" s="17" t="n">
        <v>6</v>
      </c>
      <c r="B13" s="53">
        <f>Gradebook!B15</f>
        <v/>
      </c>
      <c r="C13" s="57">
        <f>Gradebook!C15</f>
        <v/>
      </c>
      <c r="D13" s="40">
        <f>Gradebook!E15</f>
        <v/>
      </c>
      <c r="E13" s="40">
        <f>Gradebook!G15</f>
        <v/>
      </c>
      <c r="F13" s="58">
        <f>IF(B13="","",IF(AND(NOT(ISNUMBER(C13)),NOT(ISNUMBER(D13))),"",(IF(ISNUMBER(C13),Setup!$B$22*C13,0)+IF(ISNUMBER(D13),Setup!$B$23*D13,0))/(IF(ISNUMBER(C13),Setup!$B$22,0)+IF(ISNUMBER(D13),Setup!$B$23,0))))</f>
        <v/>
      </c>
      <c r="G13" s="34">
        <f>IF(ISNUMBER(F13),RANK(F13,$F$8:$F$47,0),"")</f>
        <v/>
      </c>
      <c r="H13" s="40">
        <f>IF(ISNUMBER(F13),IF(COUNT($F$8:$F$47)&lt;=1,1,SUMPRODUCT(--($F$8:$F$47&lt;F13))/(COUNT($F$8:$F$47)-1)),"")</f>
        <v/>
      </c>
      <c r="I13" s="59">
        <f>IF(ISNUMBER(F13),IFERROR((F13-AVERAGE($F$8:$F$47))/STDEVP($F$8:$F$47),0),"")</f>
        <v/>
      </c>
      <c r="J13" s="60">
        <f>IF(ISNUMBER(H13),VLOOKUP(H13,Setup!$G$12:$H$16,2,TRUE),"")</f>
        <v/>
      </c>
      <c r="K13" s="60">
        <f>IF(B13="","",IF(OR(AND(ISNUMBER(C13),C13&lt;Setup!$B$27),AND(ISNUMBER(D13),D13&lt;Setup!$B$28)),"At risk",IF(OR(AND(ISNUMBER(C13),C13&lt;Setup!$B$27+0.1),AND(ISNUMBER(D13),D13&lt;Setup!$B$28+0.1)),"Watch","On track")))</f>
        <v/>
      </c>
      <c r="M13">
        <f>IF(ISNUMBER(F13),G13+SUMPRODUCT(--($F$7:F12=F13)),"")</f>
        <v/>
      </c>
      <c r="N13" s="34">
        <f>IF(6&gt;COUNT($F$8:$F$47),"",6)</f>
        <v/>
      </c>
      <c r="O13" s="61">
        <f>IF(N13="","",INDEX($B$8:$B$47,MATCH(N13,$M$8:$M$47,0)))</f>
        <v/>
      </c>
      <c r="P13" s="57">
        <f>IF(N13="","",INDEX($F$8:$F$47,MATCH(N13,$M$8:$M$47,0)))</f>
        <v/>
      </c>
      <c r="Q13" s="40">
        <f>IF(N13="","",INDEX($H$8:$H$47,MATCH(N13,$M$8:$M$47,0)))</f>
        <v/>
      </c>
      <c r="R13" s="60">
        <f>IF(N13="","",INDEX($K$8:$K$47,MATCH(N13,$M$8:$M$47,0)))</f>
        <v/>
      </c>
    </row>
    <row r="14">
      <c r="A14" s="17" t="n">
        <v>7</v>
      </c>
      <c r="B14" s="53">
        <f>Gradebook!B16</f>
        <v/>
      </c>
      <c r="C14" s="57">
        <f>Gradebook!C16</f>
        <v/>
      </c>
      <c r="D14" s="40">
        <f>Gradebook!E16</f>
        <v/>
      </c>
      <c r="E14" s="40">
        <f>Gradebook!G16</f>
        <v/>
      </c>
      <c r="F14" s="58">
        <f>IF(B14="","",IF(AND(NOT(ISNUMBER(C14)),NOT(ISNUMBER(D14))),"",(IF(ISNUMBER(C14),Setup!$B$22*C14,0)+IF(ISNUMBER(D14),Setup!$B$23*D14,0))/(IF(ISNUMBER(C14),Setup!$B$22,0)+IF(ISNUMBER(D14),Setup!$B$23,0))))</f>
        <v/>
      </c>
      <c r="G14" s="34">
        <f>IF(ISNUMBER(F14),RANK(F14,$F$8:$F$47,0),"")</f>
        <v/>
      </c>
      <c r="H14" s="40">
        <f>IF(ISNUMBER(F14),IF(COUNT($F$8:$F$47)&lt;=1,1,SUMPRODUCT(--($F$8:$F$47&lt;F14))/(COUNT($F$8:$F$47)-1)),"")</f>
        <v/>
      </c>
      <c r="I14" s="59">
        <f>IF(ISNUMBER(F14),IFERROR((F14-AVERAGE($F$8:$F$47))/STDEVP($F$8:$F$47),0),"")</f>
        <v/>
      </c>
      <c r="J14" s="60">
        <f>IF(ISNUMBER(H14),VLOOKUP(H14,Setup!$G$12:$H$16,2,TRUE),"")</f>
        <v/>
      </c>
      <c r="K14" s="60">
        <f>IF(B14="","",IF(OR(AND(ISNUMBER(C14),C14&lt;Setup!$B$27),AND(ISNUMBER(D14),D14&lt;Setup!$B$28)),"At risk",IF(OR(AND(ISNUMBER(C14),C14&lt;Setup!$B$27+0.1),AND(ISNUMBER(D14),D14&lt;Setup!$B$28+0.1)),"Watch","On track")))</f>
        <v/>
      </c>
      <c r="M14">
        <f>IF(ISNUMBER(F14),G14+SUMPRODUCT(--($F$7:F13=F14)),"")</f>
        <v/>
      </c>
      <c r="N14" s="34">
        <f>IF(7&gt;COUNT($F$8:$F$47),"",7)</f>
        <v/>
      </c>
      <c r="O14" s="61">
        <f>IF(N14="","",INDEX($B$8:$B$47,MATCH(N14,$M$8:$M$47,0)))</f>
        <v/>
      </c>
      <c r="P14" s="57">
        <f>IF(N14="","",INDEX($F$8:$F$47,MATCH(N14,$M$8:$M$47,0)))</f>
        <v/>
      </c>
      <c r="Q14" s="40">
        <f>IF(N14="","",INDEX($H$8:$H$47,MATCH(N14,$M$8:$M$47,0)))</f>
        <v/>
      </c>
      <c r="R14" s="60">
        <f>IF(N14="","",INDEX($K$8:$K$47,MATCH(N14,$M$8:$M$47,0)))</f>
        <v/>
      </c>
    </row>
    <row r="15">
      <c r="A15" s="17" t="n">
        <v>8</v>
      </c>
      <c r="B15" s="53">
        <f>Gradebook!B17</f>
        <v/>
      </c>
      <c r="C15" s="57">
        <f>Gradebook!C17</f>
        <v/>
      </c>
      <c r="D15" s="40">
        <f>Gradebook!E17</f>
        <v/>
      </c>
      <c r="E15" s="40">
        <f>Gradebook!G17</f>
        <v/>
      </c>
      <c r="F15" s="58">
        <f>IF(B15="","",IF(AND(NOT(ISNUMBER(C15)),NOT(ISNUMBER(D15))),"",(IF(ISNUMBER(C15),Setup!$B$22*C15,0)+IF(ISNUMBER(D15),Setup!$B$23*D15,0))/(IF(ISNUMBER(C15),Setup!$B$22,0)+IF(ISNUMBER(D15),Setup!$B$23,0))))</f>
        <v/>
      </c>
      <c r="G15" s="34">
        <f>IF(ISNUMBER(F15),RANK(F15,$F$8:$F$47,0),"")</f>
        <v/>
      </c>
      <c r="H15" s="40">
        <f>IF(ISNUMBER(F15),IF(COUNT($F$8:$F$47)&lt;=1,1,SUMPRODUCT(--($F$8:$F$47&lt;F15))/(COUNT($F$8:$F$47)-1)),"")</f>
        <v/>
      </c>
      <c r="I15" s="59">
        <f>IF(ISNUMBER(F15),IFERROR((F15-AVERAGE($F$8:$F$47))/STDEVP($F$8:$F$47),0),"")</f>
        <v/>
      </c>
      <c r="J15" s="60">
        <f>IF(ISNUMBER(H15),VLOOKUP(H15,Setup!$G$12:$H$16,2,TRUE),"")</f>
        <v/>
      </c>
      <c r="K15" s="60">
        <f>IF(B15="","",IF(OR(AND(ISNUMBER(C15),C15&lt;Setup!$B$27),AND(ISNUMBER(D15),D15&lt;Setup!$B$28)),"At risk",IF(OR(AND(ISNUMBER(C15),C15&lt;Setup!$B$27+0.1),AND(ISNUMBER(D15),D15&lt;Setup!$B$28+0.1)),"Watch","On track")))</f>
        <v/>
      </c>
      <c r="M15">
        <f>IF(ISNUMBER(F15),G15+SUMPRODUCT(--($F$7:F14=F15)),"")</f>
        <v/>
      </c>
      <c r="N15" s="34">
        <f>IF(8&gt;COUNT($F$8:$F$47),"",8)</f>
        <v/>
      </c>
      <c r="O15" s="61">
        <f>IF(N15="","",INDEX($B$8:$B$47,MATCH(N15,$M$8:$M$47,0)))</f>
        <v/>
      </c>
      <c r="P15" s="57">
        <f>IF(N15="","",INDEX($F$8:$F$47,MATCH(N15,$M$8:$M$47,0)))</f>
        <v/>
      </c>
      <c r="Q15" s="40">
        <f>IF(N15="","",INDEX($H$8:$H$47,MATCH(N15,$M$8:$M$47,0)))</f>
        <v/>
      </c>
      <c r="R15" s="60">
        <f>IF(N15="","",INDEX($K$8:$K$47,MATCH(N15,$M$8:$M$47,0)))</f>
        <v/>
      </c>
    </row>
    <row r="16">
      <c r="A16" s="17" t="n">
        <v>9</v>
      </c>
      <c r="B16" s="53">
        <f>Gradebook!B18</f>
        <v/>
      </c>
      <c r="C16" s="57">
        <f>Gradebook!C18</f>
        <v/>
      </c>
      <c r="D16" s="40">
        <f>Gradebook!E18</f>
        <v/>
      </c>
      <c r="E16" s="40">
        <f>Gradebook!G18</f>
        <v/>
      </c>
      <c r="F16" s="58">
        <f>IF(B16="","",IF(AND(NOT(ISNUMBER(C16)),NOT(ISNUMBER(D16))),"",(IF(ISNUMBER(C16),Setup!$B$22*C16,0)+IF(ISNUMBER(D16),Setup!$B$23*D16,0))/(IF(ISNUMBER(C16),Setup!$B$22,0)+IF(ISNUMBER(D16),Setup!$B$23,0))))</f>
        <v/>
      </c>
      <c r="G16" s="34">
        <f>IF(ISNUMBER(F16),RANK(F16,$F$8:$F$47,0),"")</f>
        <v/>
      </c>
      <c r="H16" s="40">
        <f>IF(ISNUMBER(F16),IF(COUNT($F$8:$F$47)&lt;=1,1,SUMPRODUCT(--($F$8:$F$47&lt;F16))/(COUNT($F$8:$F$47)-1)),"")</f>
        <v/>
      </c>
      <c r="I16" s="59">
        <f>IF(ISNUMBER(F16),IFERROR((F16-AVERAGE($F$8:$F$47))/STDEVP($F$8:$F$47),0),"")</f>
        <v/>
      </c>
      <c r="J16" s="60">
        <f>IF(ISNUMBER(H16),VLOOKUP(H16,Setup!$G$12:$H$16,2,TRUE),"")</f>
        <v/>
      </c>
      <c r="K16" s="60">
        <f>IF(B16="","",IF(OR(AND(ISNUMBER(C16),C16&lt;Setup!$B$27),AND(ISNUMBER(D16),D16&lt;Setup!$B$28)),"At risk",IF(OR(AND(ISNUMBER(C16),C16&lt;Setup!$B$27+0.1),AND(ISNUMBER(D16),D16&lt;Setup!$B$28+0.1)),"Watch","On track")))</f>
        <v/>
      </c>
      <c r="M16">
        <f>IF(ISNUMBER(F16),G16+SUMPRODUCT(--($F$7:F15=F16)),"")</f>
        <v/>
      </c>
      <c r="N16" s="34">
        <f>IF(9&gt;COUNT($F$8:$F$47),"",9)</f>
        <v/>
      </c>
      <c r="O16" s="61">
        <f>IF(N16="","",INDEX($B$8:$B$47,MATCH(N16,$M$8:$M$47,0)))</f>
        <v/>
      </c>
      <c r="P16" s="57">
        <f>IF(N16="","",INDEX($F$8:$F$47,MATCH(N16,$M$8:$M$47,0)))</f>
        <v/>
      </c>
      <c r="Q16" s="40">
        <f>IF(N16="","",INDEX($H$8:$H$47,MATCH(N16,$M$8:$M$47,0)))</f>
        <v/>
      </c>
      <c r="R16" s="60">
        <f>IF(N16="","",INDEX($K$8:$K$47,MATCH(N16,$M$8:$M$47,0)))</f>
        <v/>
      </c>
    </row>
    <row r="17">
      <c r="A17" s="17" t="n">
        <v>10</v>
      </c>
      <c r="B17" s="53">
        <f>Gradebook!B19</f>
        <v/>
      </c>
      <c r="C17" s="57">
        <f>Gradebook!C19</f>
        <v/>
      </c>
      <c r="D17" s="40">
        <f>Gradebook!E19</f>
        <v/>
      </c>
      <c r="E17" s="40">
        <f>Gradebook!G19</f>
        <v/>
      </c>
      <c r="F17" s="58">
        <f>IF(B17="","",IF(AND(NOT(ISNUMBER(C17)),NOT(ISNUMBER(D17))),"",(IF(ISNUMBER(C17),Setup!$B$22*C17,0)+IF(ISNUMBER(D17),Setup!$B$23*D17,0))/(IF(ISNUMBER(C17),Setup!$B$22,0)+IF(ISNUMBER(D17),Setup!$B$23,0))))</f>
        <v/>
      </c>
      <c r="G17" s="34">
        <f>IF(ISNUMBER(F17),RANK(F17,$F$8:$F$47,0),"")</f>
        <v/>
      </c>
      <c r="H17" s="40">
        <f>IF(ISNUMBER(F17),IF(COUNT($F$8:$F$47)&lt;=1,1,SUMPRODUCT(--($F$8:$F$47&lt;F17))/(COUNT($F$8:$F$47)-1)),"")</f>
        <v/>
      </c>
      <c r="I17" s="59">
        <f>IF(ISNUMBER(F17),IFERROR((F17-AVERAGE($F$8:$F$47))/STDEVP($F$8:$F$47),0),"")</f>
        <v/>
      </c>
      <c r="J17" s="60">
        <f>IF(ISNUMBER(H17),VLOOKUP(H17,Setup!$G$12:$H$16,2,TRUE),"")</f>
        <v/>
      </c>
      <c r="K17" s="60">
        <f>IF(B17="","",IF(OR(AND(ISNUMBER(C17),C17&lt;Setup!$B$27),AND(ISNUMBER(D17),D17&lt;Setup!$B$28)),"At risk",IF(OR(AND(ISNUMBER(C17),C17&lt;Setup!$B$27+0.1),AND(ISNUMBER(D17),D17&lt;Setup!$B$28+0.1)),"Watch","On track")))</f>
        <v/>
      </c>
      <c r="M17">
        <f>IF(ISNUMBER(F17),G17+SUMPRODUCT(--($F$7:F16=F17)),"")</f>
        <v/>
      </c>
      <c r="N17" s="34">
        <f>IF(10&gt;COUNT($F$8:$F$47),"",10)</f>
        <v/>
      </c>
      <c r="O17" s="61">
        <f>IF(N17="","",INDEX($B$8:$B$47,MATCH(N17,$M$8:$M$47,0)))</f>
        <v/>
      </c>
      <c r="P17" s="57">
        <f>IF(N17="","",INDEX($F$8:$F$47,MATCH(N17,$M$8:$M$47,0)))</f>
        <v/>
      </c>
      <c r="Q17" s="40">
        <f>IF(N17="","",INDEX($H$8:$H$47,MATCH(N17,$M$8:$M$47,0)))</f>
        <v/>
      </c>
      <c r="R17" s="60">
        <f>IF(N17="","",INDEX($K$8:$K$47,MATCH(N17,$M$8:$M$47,0)))</f>
        <v/>
      </c>
    </row>
    <row r="18">
      <c r="A18" s="17" t="n">
        <v>11</v>
      </c>
      <c r="B18" s="53">
        <f>Gradebook!B20</f>
        <v/>
      </c>
      <c r="C18" s="57">
        <f>Gradebook!C20</f>
        <v/>
      </c>
      <c r="D18" s="40">
        <f>Gradebook!E20</f>
        <v/>
      </c>
      <c r="E18" s="40">
        <f>Gradebook!G20</f>
        <v/>
      </c>
      <c r="F18" s="58">
        <f>IF(B18="","",IF(AND(NOT(ISNUMBER(C18)),NOT(ISNUMBER(D18))),"",(IF(ISNUMBER(C18),Setup!$B$22*C18,0)+IF(ISNUMBER(D18),Setup!$B$23*D18,0))/(IF(ISNUMBER(C18),Setup!$B$22,0)+IF(ISNUMBER(D18),Setup!$B$23,0))))</f>
        <v/>
      </c>
      <c r="G18" s="34">
        <f>IF(ISNUMBER(F18),RANK(F18,$F$8:$F$47,0),"")</f>
        <v/>
      </c>
      <c r="H18" s="40">
        <f>IF(ISNUMBER(F18),IF(COUNT($F$8:$F$47)&lt;=1,1,SUMPRODUCT(--($F$8:$F$47&lt;F18))/(COUNT($F$8:$F$47)-1)),"")</f>
        <v/>
      </c>
      <c r="I18" s="59">
        <f>IF(ISNUMBER(F18),IFERROR((F18-AVERAGE($F$8:$F$47))/STDEVP($F$8:$F$47),0),"")</f>
        <v/>
      </c>
      <c r="J18" s="60">
        <f>IF(ISNUMBER(H18),VLOOKUP(H18,Setup!$G$12:$H$16,2,TRUE),"")</f>
        <v/>
      </c>
      <c r="K18" s="60">
        <f>IF(B18="","",IF(OR(AND(ISNUMBER(C18),C18&lt;Setup!$B$27),AND(ISNUMBER(D18),D18&lt;Setup!$B$28)),"At risk",IF(OR(AND(ISNUMBER(C18),C18&lt;Setup!$B$27+0.1),AND(ISNUMBER(D18),D18&lt;Setup!$B$28+0.1)),"Watch","On track")))</f>
        <v/>
      </c>
      <c r="M18">
        <f>IF(ISNUMBER(F18),G18+SUMPRODUCT(--($F$7:F17=F18)),"")</f>
        <v/>
      </c>
      <c r="N18" s="34">
        <f>IF(11&gt;COUNT($F$8:$F$47),"",11)</f>
        <v/>
      </c>
      <c r="O18" s="61">
        <f>IF(N18="","",INDEX($B$8:$B$47,MATCH(N18,$M$8:$M$47,0)))</f>
        <v/>
      </c>
      <c r="P18" s="57">
        <f>IF(N18="","",INDEX($F$8:$F$47,MATCH(N18,$M$8:$M$47,0)))</f>
        <v/>
      </c>
      <c r="Q18" s="40">
        <f>IF(N18="","",INDEX($H$8:$H$47,MATCH(N18,$M$8:$M$47,0)))</f>
        <v/>
      </c>
      <c r="R18" s="60">
        <f>IF(N18="","",INDEX($K$8:$K$47,MATCH(N18,$M$8:$M$47,0)))</f>
        <v/>
      </c>
    </row>
    <row r="19">
      <c r="A19" s="17" t="n">
        <v>12</v>
      </c>
      <c r="B19" s="53">
        <f>Gradebook!B21</f>
        <v/>
      </c>
      <c r="C19" s="57">
        <f>Gradebook!C21</f>
        <v/>
      </c>
      <c r="D19" s="40">
        <f>Gradebook!E21</f>
        <v/>
      </c>
      <c r="E19" s="40">
        <f>Gradebook!G21</f>
        <v/>
      </c>
      <c r="F19" s="58">
        <f>IF(B19="","",IF(AND(NOT(ISNUMBER(C19)),NOT(ISNUMBER(D19))),"",(IF(ISNUMBER(C19),Setup!$B$22*C19,0)+IF(ISNUMBER(D19),Setup!$B$23*D19,0))/(IF(ISNUMBER(C19),Setup!$B$22,0)+IF(ISNUMBER(D19),Setup!$B$23,0))))</f>
        <v/>
      </c>
      <c r="G19" s="34">
        <f>IF(ISNUMBER(F19),RANK(F19,$F$8:$F$47,0),"")</f>
        <v/>
      </c>
      <c r="H19" s="40">
        <f>IF(ISNUMBER(F19),IF(COUNT($F$8:$F$47)&lt;=1,1,SUMPRODUCT(--($F$8:$F$47&lt;F19))/(COUNT($F$8:$F$47)-1)),"")</f>
        <v/>
      </c>
      <c r="I19" s="59">
        <f>IF(ISNUMBER(F19),IFERROR((F19-AVERAGE($F$8:$F$47))/STDEVP($F$8:$F$47),0),"")</f>
        <v/>
      </c>
      <c r="J19" s="60">
        <f>IF(ISNUMBER(H19),VLOOKUP(H19,Setup!$G$12:$H$16,2,TRUE),"")</f>
        <v/>
      </c>
      <c r="K19" s="60">
        <f>IF(B19="","",IF(OR(AND(ISNUMBER(C19),C19&lt;Setup!$B$27),AND(ISNUMBER(D19),D19&lt;Setup!$B$28)),"At risk",IF(OR(AND(ISNUMBER(C19),C19&lt;Setup!$B$27+0.1),AND(ISNUMBER(D19),D19&lt;Setup!$B$28+0.1)),"Watch","On track")))</f>
        <v/>
      </c>
      <c r="M19">
        <f>IF(ISNUMBER(F19),G19+SUMPRODUCT(--($F$7:F18=F19)),"")</f>
        <v/>
      </c>
      <c r="N19" s="34">
        <f>IF(12&gt;COUNT($F$8:$F$47),"",12)</f>
        <v/>
      </c>
      <c r="O19" s="61">
        <f>IF(N19="","",INDEX($B$8:$B$47,MATCH(N19,$M$8:$M$47,0)))</f>
        <v/>
      </c>
      <c r="P19" s="57">
        <f>IF(N19="","",INDEX($F$8:$F$47,MATCH(N19,$M$8:$M$47,0)))</f>
        <v/>
      </c>
      <c r="Q19" s="40">
        <f>IF(N19="","",INDEX($H$8:$H$47,MATCH(N19,$M$8:$M$47,0)))</f>
        <v/>
      </c>
      <c r="R19" s="60">
        <f>IF(N19="","",INDEX($K$8:$K$47,MATCH(N19,$M$8:$M$47,0)))</f>
        <v/>
      </c>
    </row>
    <row r="20">
      <c r="A20" s="17" t="n">
        <v>13</v>
      </c>
      <c r="B20" s="53">
        <f>Gradebook!B22</f>
        <v/>
      </c>
      <c r="C20" s="57">
        <f>Gradebook!C22</f>
        <v/>
      </c>
      <c r="D20" s="40">
        <f>Gradebook!E22</f>
        <v/>
      </c>
      <c r="E20" s="40">
        <f>Gradebook!G22</f>
        <v/>
      </c>
      <c r="F20" s="58">
        <f>IF(B20="","",IF(AND(NOT(ISNUMBER(C20)),NOT(ISNUMBER(D20))),"",(IF(ISNUMBER(C20),Setup!$B$22*C20,0)+IF(ISNUMBER(D20),Setup!$B$23*D20,0))/(IF(ISNUMBER(C20),Setup!$B$22,0)+IF(ISNUMBER(D20),Setup!$B$23,0))))</f>
        <v/>
      </c>
      <c r="G20" s="34">
        <f>IF(ISNUMBER(F20),RANK(F20,$F$8:$F$47,0),"")</f>
        <v/>
      </c>
      <c r="H20" s="40">
        <f>IF(ISNUMBER(F20),IF(COUNT($F$8:$F$47)&lt;=1,1,SUMPRODUCT(--($F$8:$F$47&lt;F20))/(COUNT($F$8:$F$47)-1)),"")</f>
        <v/>
      </c>
      <c r="I20" s="59">
        <f>IF(ISNUMBER(F20),IFERROR((F20-AVERAGE($F$8:$F$47))/STDEVP($F$8:$F$47),0),"")</f>
        <v/>
      </c>
      <c r="J20" s="60">
        <f>IF(ISNUMBER(H20),VLOOKUP(H20,Setup!$G$12:$H$16,2,TRUE),"")</f>
        <v/>
      </c>
      <c r="K20" s="60">
        <f>IF(B20="","",IF(OR(AND(ISNUMBER(C20),C20&lt;Setup!$B$27),AND(ISNUMBER(D20),D20&lt;Setup!$B$28)),"At risk",IF(OR(AND(ISNUMBER(C20),C20&lt;Setup!$B$27+0.1),AND(ISNUMBER(D20),D20&lt;Setup!$B$28+0.1)),"Watch","On track")))</f>
        <v/>
      </c>
      <c r="M20">
        <f>IF(ISNUMBER(F20),G20+SUMPRODUCT(--($F$7:F19=F20)),"")</f>
        <v/>
      </c>
      <c r="N20" s="34">
        <f>IF(13&gt;COUNT($F$8:$F$47),"",13)</f>
        <v/>
      </c>
      <c r="O20" s="61">
        <f>IF(N20="","",INDEX($B$8:$B$47,MATCH(N20,$M$8:$M$47,0)))</f>
        <v/>
      </c>
      <c r="P20" s="57">
        <f>IF(N20="","",INDEX($F$8:$F$47,MATCH(N20,$M$8:$M$47,0)))</f>
        <v/>
      </c>
      <c r="Q20" s="40">
        <f>IF(N20="","",INDEX($H$8:$H$47,MATCH(N20,$M$8:$M$47,0)))</f>
        <v/>
      </c>
      <c r="R20" s="60">
        <f>IF(N20="","",INDEX($K$8:$K$47,MATCH(N20,$M$8:$M$47,0)))</f>
        <v/>
      </c>
    </row>
    <row r="21">
      <c r="A21" s="17" t="n">
        <v>14</v>
      </c>
      <c r="B21" s="53">
        <f>Gradebook!B23</f>
        <v/>
      </c>
      <c r="C21" s="57">
        <f>Gradebook!C23</f>
        <v/>
      </c>
      <c r="D21" s="40">
        <f>Gradebook!E23</f>
        <v/>
      </c>
      <c r="E21" s="40">
        <f>Gradebook!G23</f>
        <v/>
      </c>
      <c r="F21" s="58">
        <f>IF(B21="","",IF(AND(NOT(ISNUMBER(C21)),NOT(ISNUMBER(D21))),"",(IF(ISNUMBER(C21),Setup!$B$22*C21,0)+IF(ISNUMBER(D21),Setup!$B$23*D21,0))/(IF(ISNUMBER(C21),Setup!$B$22,0)+IF(ISNUMBER(D21),Setup!$B$23,0))))</f>
        <v/>
      </c>
      <c r="G21" s="34">
        <f>IF(ISNUMBER(F21),RANK(F21,$F$8:$F$47,0),"")</f>
        <v/>
      </c>
      <c r="H21" s="40">
        <f>IF(ISNUMBER(F21),IF(COUNT($F$8:$F$47)&lt;=1,1,SUMPRODUCT(--($F$8:$F$47&lt;F21))/(COUNT($F$8:$F$47)-1)),"")</f>
        <v/>
      </c>
      <c r="I21" s="59">
        <f>IF(ISNUMBER(F21),IFERROR((F21-AVERAGE($F$8:$F$47))/STDEVP($F$8:$F$47),0),"")</f>
        <v/>
      </c>
      <c r="J21" s="60">
        <f>IF(ISNUMBER(H21),VLOOKUP(H21,Setup!$G$12:$H$16,2,TRUE),"")</f>
        <v/>
      </c>
      <c r="K21" s="60">
        <f>IF(B21="","",IF(OR(AND(ISNUMBER(C21),C21&lt;Setup!$B$27),AND(ISNUMBER(D21),D21&lt;Setup!$B$28)),"At risk",IF(OR(AND(ISNUMBER(C21),C21&lt;Setup!$B$27+0.1),AND(ISNUMBER(D21),D21&lt;Setup!$B$28+0.1)),"Watch","On track")))</f>
        <v/>
      </c>
      <c r="M21">
        <f>IF(ISNUMBER(F21),G21+SUMPRODUCT(--($F$7:F20=F21)),"")</f>
        <v/>
      </c>
      <c r="N21" s="34">
        <f>IF(14&gt;COUNT($F$8:$F$47),"",14)</f>
        <v/>
      </c>
      <c r="O21" s="61">
        <f>IF(N21="","",INDEX($B$8:$B$47,MATCH(N21,$M$8:$M$47,0)))</f>
        <v/>
      </c>
      <c r="P21" s="57">
        <f>IF(N21="","",INDEX($F$8:$F$47,MATCH(N21,$M$8:$M$47,0)))</f>
        <v/>
      </c>
      <c r="Q21" s="40">
        <f>IF(N21="","",INDEX($H$8:$H$47,MATCH(N21,$M$8:$M$47,0)))</f>
        <v/>
      </c>
      <c r="R21" s="60">
        <f>IF(N21="","",INDEX($K$8:$K$47,MATCH(N21,$M$8:$M$47,0)))</f>
        <v/>
      </c>
    </row>
    <row r="22">
      <c r="A22" s="17" t="n">
        <v>15</v>
      </c>
      <c r="B22" s="53">
        <f>Gradebook!B24</f>
        <v/>
      </c>
      <c r="C22" s="57">
        <f>Gradebook!C24</f>
        <v/>
      </c>
      <c r="D22" s="40">
        <f>Gradebook!E24</f>
        <v/>
      </c>
      <c r="E22" s="40">
        <f>Gradebook!G24</f>
        <v/>
      </c>
      <c r="F22" s="58">
        <f>IF(B22="","",IF(AND(NOT(ISNUMBER(C22)),NOT(ISNUMBER(D22))),"",(IF(ISNUMBER(C22),Setup!$B$22*C22,0)+IF(ISNUMBER(D22),Setup!$B$23*D22,0))/(IF(ISNUMBER(C22),Setup!$B$22,0)+IF(ISNUMBER(D22),Setup!$B$23,0))))</f>
        <v/>
      </c>
      <c r="G22" s="34">
        <f>IF(ISNUMBER(F22),RANK(F22,$F$8:$F$47,0),"")</f>
        <v/>
      </c>
      <c r="H22" s="40">
        <f>IF(ISNUMBER(F22),IF(COUNT($F$8:$F$47)&lt;=1,1,SUMPRODUCT(--($F$8:$F$47&lt;F22))/(COUNT($F$8:$F$47)-1)),"")</f>
        <v/>
      </c>
      <c r="I22" s="59">
        <f>IF(ISNUMBER(F22),IFERROR((F22-AVERAGE($F$8:$F$47))/STDEVP($F$8:$F$47),0),"")</f>
        <v/>
      </c>
      <c r="J22" s="60">
        <f>IF(ISNUMBER(H22),VLOOKUP(H22,Setup!$G$12:$H$16,2,TRUE),"")</f>
        <v/>
      </c>
      <c r="K22" s="60">
        <f>IF(B22="","",IF(OR(AND(ISNUMBER(C22),C22&lt;Setup!$B$27),AND(ISNUMBER(D22),D22&lt;Setup!$B$28)),"At risk",IF(OR(AND(ISNUMBER(C22),C22&lt;Setup!$B$27+0.1),AND(ISNUMBER(D22),D22&lt;Setup!$B$28+0.1)),"Watch","On track")))</f>
        <v/>
      </c>
      <c r="M22">
        <f>IF(ISNUMBER(F22),G22+SUMPRODUCT(--($F$7:F21=F22)),"")</f>
        <v/>
      </c>
      <c r="N22" s="34">
        <f>IF(15&gt;COUNT($F$8:$F$47),"",15)</f>
        <v/>
      </c>
      <c r="O22" s="61">
        <f>IF(N22="","",INDEX($B$8:$B$47,MATCH(N22,$M$8:$M$47,0)))</f>
        <v/>
      </c>
      <c r="P22" s="57">
        <f>IF(N22="","",INDEX($F$8:$F$47,MATCH(N22,$M$8:$M$47,0)))</f>
        <v/>
      </c>
      <c r="Q22" s="40">
        <f>IF(N22="","",INDEX($H$8:$H$47,MATCH(N22,$M$8:$M$47,0)))</f>
        <v/>
      </c>
      <c r="R22" s="60">
        <f>IF(N22="","",INDEX($K$8:$K$47,MATCH(N22,$M$8:$M$47,0)))</f>
        <v/>
      </c>
    </row>
    <row r="23">
      <c r="A23" s="17" t="n">
        <v>16</v>
      </c>
      <c r="B23" s="53">
        <f>Gradebook!B25</f>
        <v/>
      </c>
      <c r="C23" s="57">
        <f>Gradebook!C25</f>
        <v/>
      </c>
      <c r="D23" s="40">
        <f>Gradebook!E25</f>
        <v/>
      </c>
      <c r="E23" s="40">
        <f>Gradebook!G25</f>
        <v/>
      </c>
      <c r="F23" s="58">
        <f>IF(B23="","",IF(AND(NOT(ISNUMBER(C23)),NOT(ISNUMBER(D23))),"",(IF(ISNUMBER(C23),Setup!$B$22*C23,0)+IF(ISNUMBER(D23),Setup!$B$23*D23,0))/(IF(ISNUMBER(C23),Setup!$B$22,0)+IF(ISNUMBER(D23),Setup!$B$23,0))))</f>
        <v/>
      </c>
      <c r="G23" s="34">
        <f>IF(ISNUMBER(F23),RANK(F23,$F$8:$F$47,0),"")</f>
        <v/>
      </c>
      <c r="H23" s="40">
        <f>IF(ISNUMBER(F23),IF(COUNT($F$8:$F$47)&lt;=1,1,SUMPRODUCT(--($F$8:$F$47&lt;F23))/(COUNT($F$8:$F$47)-1)),"")</f>
        <v/>
      </c>
      <c r="I23" s="59">
        <f>IF(ISNUMBER(F23),IFERROR((F23-AVERAGE($F$8:$F$47))/STDEVP($F$8:$F$47),0),"")</f>
        <v/>
      </c>
      <c r="J23" s="60">
        <f>IF(ISNUMBER(H23),VLOOKUP(H23,Setup!$G$12:$H$16,2,TRUE),"")</f>
        <v/>
      </c>
      <c r="K23" s="60">
        <f>IF(B23="","",IF(OR(AND(ISNUMBER(C23),C23&lt;Setup!$B$27),AND(ISNUMBER(D23),D23&lt;Setup!$B$28)),"At risk",IF(OR(AND(ISNUMBER(C23),C23&lt;Setup!$B$27+0.1),AND(ISNUMBER(D23),D23&lt;Setup!$B$28+0.1)),"Watch","On track")))</f>
        <v/>
      </c>
      <c r="M23">
        <f>IF(ISNUMBER(F23),G23+SUMPRODUCT(--($F$7:F22=F23)),"")</f>
        <v/>
      </c>
      <c r="N23" s="34">
        <f>IF(16&gt;COUNT($F$8:$F$47),"",16)</f>
        <v/>
      </c>
      <c r="O23" s="61">
        <f>IF(N23="","",INDEX($B$8:$B$47,MATCH(N23,$M$8:$M$47,0)))</f>
        <v/>
      </c>
      <c r="P23" s="57">
        <f>IF(N23="","",INDEX($F$8:$F$47,MATCH(N23,$M$8:$M$47,0)))</f>
        <v/>
      </c>
      <c r="Q23" s="40">
        <f>IF(N23="","",INDEX($H$8:$H$47,MATCH(N23,$M$8:$M$47,0)))</f>
        <v/>
      </c>
      <c r="R23" s="60">
        <f>IF(N23="","",INDEX($K$8:$K$47,MATCH(N23,$M$8:$M$47,0)))</f>
        <v/>
      </c>
    </row>
    <row r="24">
      <c r="A24" s="17" t="n">
        <v>17</v>
      </c>
      <c r="B24" s="53">
        <f>Gradebook!B26</f>
        <v/>
      </c>
      <c r="C24" s="57">
        <f>Gradebook!C26</f>
        <v/>
      </c>
      <c r="D24" s="40">
        <f>Gradebook!E26</f>
        <v/>
      </c>
      <c r="E24" s="40">
        <f>Gradebook!G26</f>
        <v/>
      </c>
      <c r="F24" s="58">
        <f>IF(B24="","",IF(AND(NOT(ISNUMBER(C24)),NOT(ISNUMBER(D24))),"",(IF(ISNUMBER(C24),Setup!$B$22*C24,0)+IF(ISNUMBER(D24),Setup!$B$23*D24,0))/(IF(ISNUMBER(C24),Setup!$B$22,0)+IF(ISNUMBER(D24),Setup!$B$23,0))))</f>
        <v/>
      </c>
      <c r="G24" s="34">
        <f>IF(ISNUMBER(F24),RANK(F24,$F$8:$F$47,0),"")</f>
        <v/>
      </c>
      <c r="H24" s="40">
        <f>IF(ISNUMBER(F24),IF(COUNT($F$8:$F$47)&lt;=1,1,SUMPRODUCT(--($F$8:$F$47&lt;F24))/(COUNT($F$8:$F$47)-1)),"")</f>
        <v/>
      </c>
      <c r="I24" s="59">
        <f>IF(ISNUMBER(F24),IFERROR((F24-AVERAGE($F$8:$F$47))/STDEVP($F$8:$F$47),0),"")</f>
        <v/>
      </c>
      <c r="J24" s="60">
        <f>IF(ISNUMBER(H24),VLOOKUP(H24,Setup!$G$12:$H$16,2,TRUE),"")</f>
        <v/>
      </c>
      <c r="K24" s="60">
        <f>IF(B24="","",IF(OR(AND(ISNUMBER(C24),C24&lt;Setup!$B$27),AND(ISNUMBER(D24),D24&lt;Setup!$B$28)),"At risk",IF(OR(AND(ISNUMBER(C24),C24&lt;Setup!$B$27+0.1),AND(ISNUMBER(D24),D24&lt;Setup!$B$28+0.1)),"Watch","On track")))</f>
        <v/>
      </c>
      <c r="M24">
        <f>IF(ISNUMBER(F24),G24+SUMPRODUCT(--($F$7:F23=F24)),"")</f>
        <v/>
      </c>
      <c r="N24" s="34">
        <f>IF(17&gt;COUNT($F$8:$F$47),"",17)</f>
        <v/>
      </c>
      <c r="O24" s="61">
        <f>IF(N24="","",INDEX($B$8:$B$47,MATCH(N24,$M$8:$M$47,0)))</f>
        <v/>
      </c>
      <c r="P24" s="57">
        <f>IF(N24="","",INDEX($F$8:$F$47,MATCH(N24,$M$8:$M$47,0)))</f>
        <v/>
      </c>
      <c r="Q24" s="40">
        <f>IF(N24="","",INDEX($H$8:$H$47,MATCH(N24,$M$8:$M$47,0)))</f>
        <v/>
      </c>
      <c r="R24" s="60">
        <f>IF(N24="","",INDEX($K$8:$K$47,MATCH(N24,$M$8:$M$47,0)))</f>
        <v/>
      </c>
    </row>
    <row r="25">
      <c r="A25" s="17" t="n">
        <v>18</v>
      </c>
      <c r="B25" s="53">
        <f>Gradebook!B27</f>
        <v/>
      </c>
      <c r="C25" s="57">
        <f>Gradebook!C27</f>
        <v/>
      </c>
      <c r="D25" s="40">
        <f>Gradebook!E27</f>
        <v/>
      </c>
      <c r="E25" s="40">
        <f>Gradebook!G27</f>
        <v/>
      </c>
      <c r="F25" s="58">
        <f>IF(B25="","",IF(AND(NOT(ISNUMBER(C25)),NOT(ISNUMBER(D25))),"",(IF(ISNUMBER(C25),Setup!$B$22*C25,0)+IF(ISNUMBER(D25),Setup!$B$23*D25,0))/(IF(ISNUMBER(C25),Setup!$B$22,0)+IF(ISNUMBER(D25),Setup!$B$23,0))))</f>
        <v/>
      </c>
      <c r="G25" s="34">
        <f>IF(ISNUMBER(F25),RANK(F25,$F$8:$F$47,0),"")</f>
        <v/>
      </c>
      <c r="H25" s="40">
        <f>IF(ISNUMBER(F25),IF(COUNT($F$8:$F$47)&lt;=1,1,SUMPRODUCT(--($F$8:$F$47&lt;F25))/(COUNT($F$8:$F$47)-1)),"")</f>
        <v/>
      </c>
      <c r="I25" s="59">
        <f>IF(ISNUMBER(F25),IFERROR((F25-AVERAGE($F$8:$F$47))/STDEVP($F$8:$F$47),0),"")</f>
        <v/>
      </c>
      <c r="J25" s="60">
        <f>IF(ISNUMBER(H25),VLOOKUP(H25,Setup!$G$12:$H$16,2,TRUE),"")</f>
        <v/>
      </c>
      <c r="K25" s="60">
        <f>IF(B25="","",IF(OR(AND(ISNUMBER(C25),C25&lt;Setup!$B$27),AND(ISNUMBER(D25),D25&lt;Setup!$B$28)),"At risk",IF(OR(AND(ISNUMBER(C25),C25&lt;Setup!$B$27+0.1),AND(ISNUMBER(D25),D25&lt;Setup!$B$28+0.1)),"Watch","On track")))</f>
        <v/>
      </c>
      <c r="M25">
        <f>IF(ISNUMBER(F25),G25+SUMPRODUCT(--($F$7:F24=F25)),"")</f>
        <v/>
      </c>
      <c r="N25" s="34">
        <f>IF(18&gt;COUNT($F$8:$F$47),"",18)</f>
        <v/>
      </c>
      <c r="O25" s="61">
        <f>IF(N25="","",INDEX($B$8:$B$47,MATCH(N25,$M$8:$M$47,0)))</f>
        <v/>
      </c>
      <c r="P25" s="57">
        <f>IF(N25="","",INDEX($F$8:$F$47,MATCH(N25,$M$8:$M$47,0)))</f>
        <v/>
      </c>
      <c r="Q25" s="40">
        <f>IF(N25="","",INDEX($H$8:$H$47,MATCH(N25,$M$8:$M$47,0)))</f>
        <v/>
      </c>
      <c r="R25" s="60">
        <f>IF(N25="","",INDEX($K$8:$K$47,MATCH(N25,$M$8:$M$47,0)))</f>
        <v/>
      </c>
    </row>
    <row r="26">
      <c r="A26" s="17" t="n">
        <v>19</v>
      </c>
      <c r="B26" s="53">
        <f>Gradebook!B28</f>
        <v/>
      </c>
      <c r="C26" s="57">
        <f>Gradebook!C28</f>
        <v/>
      </c>
      <c r="D26" s="40">
        <f>Gradebook!E28</f>
        <v/>
      </c>
      <c r="E26" s="40">
        <f>Gradebook!G28</f>
        <v/>
      </c>
      <c r="F26" s="58">
        <f>IF(B26="","",IF(AND(NOT(ISNUMBER(C26)),NOT(ISNUMBER(D26))),"",(IF(ISNUMBER(C26),Setup!$B$22*C26,0)+IF(ISNUMBER(D26),Setup!$B$23*D26,0))/(IF(ISNUMBER(C26),Setup!$B$22,0)+IF(ISNUMBER(D26),Setup!$B$23,0))))</f>
        <v/>
      </c>
      <c r="G26" s="34">
        <f>IF(ISNUMBER(F26),RANK(F26,$F$8:$F$47,0),"")</f>
        <v/>
      </c>
      <c r="H26" s="40">
        <f>IF(ISNUMBER(F26),IF(COUNT($F$8:$F$47)&lt;=1,1,SUMPRODUCT(--($F$8:$F$47&lt;F26))/(COUNT($F$8:$F$47)-1)),"")</f>
        <v/>
      </c>
      <c r="I26" s="59">
        <f>IF(ISNUMBER(F26),IFERROR((F26-AVERAGE($F$8:$F$47))/STDEVP($F$8:$F$47),0),"")</f>
        <v/>
      </c>
      <c r="J26" s="60">
        <f>IF(ISNUMBER(H26),VLOOKUP(H26,Setup!$G$12:$H$16,2,TRUE),"")</f>
        <v/>
      </c>
      <c r="K26" s="60">
        <f>IF(B26="","",IF(OR(AND(ISNUMBER(C26),C26&lt;Setup!$B$27),AND(ISNUMBER(D26),D26&lt;Setup!$B$28)),"At risk",IF(OR(AND(ISNUMBER(C26),C26&lt;Setup!$B$27+0.1),AND(ISNUMBER(D26),D26&lt;Setup!$B$28+0.1)),"Watch","On track")))</f>
        <v/>
      </c>
      <c r="M26">
        <f>IF(ISNUMBER(F26),G26+SUMPRODUCT(--($F$7:F25=F26)),"")</f>
        <v/>
      </c>
      <c r="N26" s="34">
        <f>IF(19&gt;COUNT($F$8:$F$47),"",19)</f>
        <v/>
      </c>
      <c r="O26" s="61">
        <f>IF(N26="","",INDEX($B$8:$B$47,MATCH(N26,$M$8:$M$47,0)))</f>
        <v/>
      </c>
      <c r="P26" s="57">
        <f>IF(N26="","",INDEX($F$8:$F$47,MATCH(N26,$M$8:$M$47,0)))</f>
        <v/>
      </c>
      <c r="Q26" s="40">
        <f>IF(N26="","",INDEX($H$8:$H$47,MATCH(N26,$M$8:$M$47,0)))</f>
        <v/>
      </c>
      <c r="R26" s="60">
        <f>IF(N26="","",INDEX($K$8:$K$47,MATCH(N26,$M$8:$M$47,0)))</f>
        <v/>
      </c>
    </row>
    <row r="27">
      <c r="A27" s="17" t="n">
        <v>20</v>
      </c>
      <c r="B27" s="53">
        <f>Gradebook!B29</f>
        <v/>
      </c>
      <c r="C27" s="57">
        <f>Gradebook!C29</f>
        <v/>
      </c>
      <c r="D27" s="40">
        <f>Gradebook!E29</f>
        <v/>
      </c>
      <c r="E27" s="40">
        <f>Gradebook!G29</f>
        <v/>
      </c>
      <c r="F27" s="58">
        <f>IF(B27="","",IF(AND(NOT(ISNUMBER(C27)),NOT(ISNUMBER(D27))),"",(IF(ISNUMBER(C27),Setup!$B$22*C27,0)+IF(ISNUMBER(D27),Setup!$B$23*D27,0))/(IF(ISNUMBER(C27),Setup!$B$22,0)+IF(ISNUMBER(D27),Setup!$B$23,0))))</f>
        <v/>
      </c>
      <c r="G27" s="34">
        <f>IF(ISNUMBER(F27),RANK(F27,$F$8:$F$47,0),"")</f>
        <v/>
      </c>
      <c r="H27" s="40">
        <f>IF(ISNUMBER(F27),IF(COUNT($F$8:$F$47)&lt;=1,1,SUMPRODUCT(--($F$8:$F$47&lt;F27))/(COUNT($F$8:$F$47)-1)),"")</f>
        <v/>
      </c>
      <c r="I27" s="59">
        <f>IF(ISNUMBER(F27),IFERROR((F27-AVERAGE($F$8:$F$47))/STDEVP($F$8:$F$47),0),"")</f>
        <v/>
      </c>
      <c r="J27" s="60">
        <f>IF(ISNUMBER(H27),VLOOKUP(H27,Setup!$G$12:$H$16,2,TRUE),"")</f>
        <v/>
      </c>
      <c r="K27" s="60">
        <f>IF(B27="","",IF(OR(AND(ISNUMBER(C27),C27&lt;Setup!$B$27),AND(ISNUMBER(D27),D27&lt;Setup!$B$28)),"At risk",IF(OR(AND(ISNUMBER(C27),C27&lt;Setup!$B$27+0.1),AND(ISNUMBER(D27),D27&lt;Setup!$B$28+0.1)),"Watch","On track")))</f>
        <v/>
      </c>
      <c r="M27">
        <f>IF(ISNUMBER(F27),G27+SUMPRODUCT(--($F$7:F26=F27)),"")</f>
        <v/>
      </c>
      <c r="N27" s="34">
        <f>IF(20&gt;COUNT($F$8:$F$47),"",20)</f>
        <v/>
      </c>
      <c r="O27" s="61">
        <f>IF(N27="","",INDEX($B$8:$B$47,MATCH(N27,$M$8:$M$47,0)))</f>
        <v/>
      </c>
      <c r="P27" s="57">
        <f>IF(N27="","",INDEX($F$8:$F$47,MATCH(N27,$M$8:$M$47,0)))</f>
        <v/>
      </c>
      <c r="Q27" s="40">
        <f>IF(N27="","",INDEX($H$8:$H$47,MATCH(N27,$M$8:$M$47,0)))</f>
        <v/>
      </c>
      <c r="R27" s="60">
        <f>IF(N27="","",INDEX($K$8:$K$47,MATCH(N27,$M$8:$M$47,0)))</f>
        <v/>
      </c>
    </row>
    <row r="28">
      <c r="A28" s="17" t="n">
        <v>21</v>
      </c>
      <c r="B28" s="53">
        <f>Gradebook!B30</f>
        <v/>
      </c>
      <c r="C28" s="57">
        <f>Gradebook!C30</f>
        <v/>
      </c>
      <c r="D28" s="40">
        <f>Gradebook!E30</f>
        <v/>
      </c>
      <c r="E28" s="40">
        <f>Gradebook!G30</f>
        <v/>
      </c>
      <c r="F28" s="58">
        <f>IF(B28="","",IF(AND(NOT(ISNUMBER(C28)),NOT(ISNUMBER(D28))),"",(IF(ISNUMBER(C28),Setup!$B$22*C28,0)+IF(ISNUMBER(D28),Setup!$B$23*D28,0))/(IF(ISNUMBER(C28),Setup!$B$22,0)+IF(ISNUMBER(D28),Setup!$B$23,0))))</f>
        <v/>
      </c>
      <c r="G28" s="34">
        <f>IF(ISNUMBER(F28),RANK(F28,$F$8:$F$47,0),"")</f>
        <v/>
      </c>
      <c r="H28" s="40">
        <f>IF(ISNUMBER(F28),IF(COUNT($F$8:$F$47)&lt;=1,1,SUMPRODUCT(--($F$8:$F$47&lt;F28))/(COUNT($F$8:$F$47)-1)),"")</f>
        <v/>
      </c>
      <c r="I28" s="59">
        <f>IF(ISNUMBER(F28),IFERROR((F28-AVERAGE($F$8:$F$47))/STDEVP($F$8:$F$47),0),"")</f>
        <v/>
      </c>
      <c r="J28" s="60">
        <f>IF(ISNUMBER(H28),VLOOKUP(H28,Setup!$G$12:$H$16,2,TRUE),"")</f>
        <v/>
      </c>
      <c r="K28" s="60">
        <f>IF(B28="","",IF(OR(AND(ISNUMBER(C28),C28&lt;Setup!$B$27),AND(ISNUMBER(D28),D28&lt;Setup!$B$28)),"At risk",IF(OR(AND(ISNUMBER(C28),C28&lt;Setup!$B$27+0.1),AND(ISNUMBER(D28),D28&lt;Setup!$B$28+0.1)),"Watch","On track")))</f>
        <v/>
      </c>
      <c r="M28">
        <f>IF(ISNUMBER(F28),G28+SUMPRODUCT(--($F$7:F27=F28)),"")</f>
        <v/>
      </c>
      <c r="N28" s="34">
        <f>IF(21&gt;COUNT($F$8:$F$47),"",21)</f>
        <v/>
      </c>
      <c r="O28" s="61">
        <f>IF(N28="","",INDEX($B$8:$B$47,MATCH(N28,$M$8:$M$47,0)))</f>
        <v/>
      </c>
      <c r="P28" s="57">
        <f>IF(N28="","",INDEX($F$8:$F$47,MATCH(N28,$M$8:$M$47,0)))</f>
        <v/>
      </c>
      <c r="Q28" s="40">
        <f>IF(N28="","",INDEX($H$8:$H$47,MATCH(N28,$M$8:$M$47,0)))</f>
        <v/>
      </c>
      <c r="R28" s="60">
        <f>IF(N28="","",INDEX($K$8:$K$47,MATCH(N28,$M$8:$M$47,0)))</f>
        <v/>
      </c>
    </row>
    <row r="29">
      <c r="A29" s="17" t="n">
        <v>22</v>
      </c>
      <c r="B29" s="53">
        <f>Gradebook!B31</f>
        <v/>
      </c>
      <c r="C29" s="57">
        <f>Gradebook!C31</f>
        <v/>
      </c>
      <c r="D29" s="40">
        <f>Gradebook!E31</f>
        <v/>
      </c>
      <c r="E29" s="40">
        <f>Gradebook!G31</f>
        <v/>
      </c>
      <c r="F29" s="58">
        <f>IF(B29="","",IF(AND(NOT(ISNUMBER(C29)),NOT(ISNUMBER(D29))),"",(IF(ISNUMBER(C29),Setup!$B$22*C29,0)+IF(ISNUMBER(D29),Setup!$B$23*D29,0))/(IF(ISNUMBER(C29),Setup!$B$22,0)+IF(ISNUMBER(D29),Setup!$B$23,0))))</f>
        <v/>
      </c>
      <c r="G29" s="34">
        <f>IF(ISNUMBER(F29),RANK(F29,$F$8:$F$47,0),"")</f>
        <v/>
      </c>
      <c r="H29" s="40">
        <f>IF(ISNUMBER(F29),IF(COUNT($F$8:$F$47)&lt;=1,1,SUMPRODUCT(--($F$8:$F$47&lt;F29))/(COUNT($F$8:$F$47)-1)),"")</f>
        <v/>
      </c>
      <c r="I29" s="59">
        <f>IF(ISNUMBER(F29),IFERROR((F29-AVERAGE($F$8:$F$47))/STDEVP($F$8:$F$47),0),"")</f>
        <v/>
      </c>
      <c r="J29" s="60">
        <f>IF(ISNUMBER(H29),VLOOKUP(H29,Setup!$G$12:$H$16,2,TRUE),"")</f>
        <v/>
      </c>
      <c r="K29" s="60">
        <f>IF(B29="","",IF(OR(AND(ISNUMBER(C29),C29&lt;Setup!$B$27),AND(ISNUMBER(D29),D29&lt;Setup!$B$28)),"At risk",IF(OR(AND(ISNUMBER(C29),C29&lt;Setup!$B$27+0.1),AND(ISNUMBER(D29),D29&lt;Setup!$B$28+0.1)),"Watch","On track")))</f>
        <v/>
      </c>
      <c r="M29">
        <f>IF(ISNUMBER(F29),G29+SUMPRODUCT(--($F$7:F28=F29)),"")</f>
        <v/>
      </c>
      <c r="N29" s="34">
        <f>IF(22&gt;COUNT($F$8:$F$47),"",22)</f>
        <v/>
      </c>
      <c r="O29" s="61">
        <f>IF(N29="","",INDEX($B$8:$B$47,MATCH(N29,$M$8:$M$47,0)))</f>
        <v/>
      </c>
      <c r="P29" s="57">
        <f>IF(N29="","",INDEX($F$8:$F$47,MATCH(N29,$M$8:$M$47,0)))</f>
        <v/>
      </c>
      <c r="Q29" s="40">
        <f>IF(N29="","",INDEX($H$8:$H$47,MATCH(N29,$M$8:$M$47,0)))</f>
        <v/>
      </c>
      <c r="R29" s="60">
        <f>IF(N29="","",INDEX($K$8:$K$47,MATCH(N29,$M$8:$M$47,0)))</f>
        <v/>
      </c>
    </row>
    <row r="30">
      <c r="A30" s="17" t="n">
        <v>23</v>
      </c>
      <c r="B30" s="53">
        <f>Gradebook!B32</f>
        <v/>
      </c>
      <c r="C30" s="57">
        <f>Gradebook!C32</f>
        <v/>
      </c>
      <c r="D30" s="40">
        <f>Gradebook!E32</f>
        <v/>
      </c>
      <c r="E30" s="40">
        <f>Gradebook!G32</f>
        <v/>
      </c>
      <c r="F30" s="58">
        <f>IF(B30="","",IF(AND(NOT(ISNUMBER(C30)),NOT(ISNUMBER(D30))),"",(IF(ISNUMBER(C30),Setup!$B$22*C30,0)+IF(ISNUMBER(D30),Setup!$B$23*D30,0))/(IF(ISNUMBER(C30),Setup!$B$22,0)+IF(ISNUMBER(D30),Setup!$B$23,0))))</f>
        <v/>
      </c>
      <c r="G30" s="34">
        <f>IF(ISNUMBER(F30),RANK(F30,$F$8:$F$47,0),"")</f>
        <v/>
      </c>
      <c r="H30" s="40">
        <f>IF(ISNUMBER(F30),IF(COUNT($F$8:$F$47)&lt;=1,1,SUMPRODUCT(--($F$8:$F$47&lt;F30))/(COUNT($F$8:$F$47)-1)),"")</f>
        <v/>
      </c>
      <c r="I30" s="59">
        <f>IF(ISNUMBER(F30),IFERROR((F30-AVERAGE($F$8:$F$47))/STDEVP($F$8:$F$47),0),"")</f>
        <v/>
      </c>
      <c r="J30" s="60">
        <f>IF(ISNUMBER(H30),VLOOKUP(H30,Setup!$G$12:$H$16,2,TRUE),"")</f>
        <v/>
      </c>
      <c r="K30" s="60">
        <f>IF(B30="","",IF(OR(AND(ISNUMBER(C30),C30&lt;Setup!$B$27),AND(ISNUMBER(D30),D30&lt;Setup!$B$28)),"At risk",IF(OR(AND(ISNUMBER(C30),C30&lt;Setup!$B$27+0.1),AND(ISNUMBER(D30),D30&lt;Setup!$B$28+0.1)),"Watch","On track")))</f>
        <v/>
      </c>
      <c r="M30">
        <f>IF(ISNUMBER(F30),G30+SUMPRODUCT(--($F$7:F29=F30)),"")</f>
        <v/>
      </c>
      <c r="N30" s="34">
        <f>IF(23&gt;COUNT($F$8:$F$47),"",23)</f>
        <v/>
      </c>
      <c r="O30" s="61">
        <f>IF(N30="","",INDEX($B$8:$B$47,MATCH(N30,$M$8:$M$47,0)))</f>
        <v/>
      </c>
      <c r="P30" s="57">
        <f>IF(N30="","",INDEX($F$8:$F$47,MATCH(N30,$M$8:$M$47,0)))</f>
        <v/>
      </c>
      <c r="Q30" s="40">
        <f>IF(N30="","",INDEX($H$8:$H$47,MATCH(N30,$M$8:$M$47,0)))</f>
        <v/>
      </c>
      <c r="R30" s="60">
        <f>IF(N30="","",INDEX($K$8:$K$47,MATCH(N30,$M$8:$M$47,0)))</f>
        <v/>
      </c>
    </row>
    <row r="31">
      <c r="A31" s="17" t="n">
        <v>24</v>
      </c>
      <c r="B31" s="53">
        <f>Gradebook!B33</f>
        <v/>
      </c>
      <c r="C31" s="57">
        <f>Gradebook!C33</f>
        <v/>
      </c>
      <c r="D31" s="40">
        <f>Gradebook!E33</f>
        <v/>
      </c>
      <c r="E31" s="40">
        <f>Gradebook!G33</f>
        <v/>
      </c>
      <c r="F31" s="58">
        <f>IF(B31="","",IF(AND(NOT(ISNUMBER(C31)),NOT(ISNUMBER(D31))),"",(IF(ISNUMBER(C31),Setup!$B$22*C31,0)+IF(ISNUMBER(D31),Setup!$B$23*D31,0))/(IF(ISNUMBER(C31),Setup!$B$22,0)+IF(ISNUMBER(D31),Setup!$B$23,0))))</f>
        <v/>
      </c>
      <c r="G31" s="34">
        <f>IF(ISNUMBER(F31),RANK(F31,$F$8:$F$47,0),"")</f>
        <v/>
      </c>
      <c r="H31" s="40">
        <f>IF(ISNUMBER(F31),IF(COUNT($F$8:$F$47)&lt;=1,1,SUMPRODUCT(--($F$8:$F$47&lt;F31))/(COUNT($F$8:$F$47)-1)),"")</f>
        <v/>
      </c>
      <c r="I31" s="59">
        <f>IF(ISNUMBER(F31),IFERROR((F31-AVERAGE($F$8:$F$47))/STDEVP($F$8:$F$47),0),"")</f>
        <v/>
      </c>
      <c r="J31" s="60">
        <f>IF(ISNUMBER(H31),VLOOKUP(H31,Setup!$G$12:$H$16,2,TRUE),"")</f>
        <v/>
      </c>
      <c r="K31" s="60">
        <f>IF(B31="","",IF(OR(AND(ISNUMBER(C31),C31&lt;Setup!$B$27),AND(ISNUMBER(D31),D31&lt;Setup!$B$28)),"At risk",IF(OR(AND(ISNUMBER(C31),C31&lt;Setup!$B$27+0.1),AND(ISNUMBER(D31),D31&lt;Setup!$B$28+0.1)),"Watch","On track")))</f>
        <v/>
      </c>
      <c r="M31">
        <f>IF(ISNUMBER(F31),G31+SUMPRODUCT(--($F$7:F30=F31)),"")</f>
        <v/>
      </c>
      <c r="N31" s="34">
        <f>IF(24&gt;COUNT($F$8:$F$47),"",24)</f>
        <v/>
      </c>
      <c r="O31" s="61">
        <f>IF(N31="","",INDEX($B$8:$B$47,MATCH(N31,$M$8:$M$47,0)))</f>
        <v/>
      </c>
      <c r="P31" s="57">
        <f>IF(N31="","",INDEX($F$8:$F$47,MATCH(N31,$M$8:$M$47,0)))</f>
        <v/>
      </c>
      <c r="Q31" s="40">
        <f>IF(N31="","",INDEX($H$8:$H$47,MATCH(N31,$M$8:$M$47,0)))</f>
        <v/>
      </c>
      <c r="R31" s="60">
        <f>IF(N31="","",INDEX($K$8:$K$47,MATCH(N31,$M$8:$M$47,0)))</f>
        <v/>
      </c>
    </row>
    <row r="32">
      <c r="A32" s="17" t="n">
        <v>25</v>
      </c>
      <c r="B32" s="53">
        <f>Gradebook!B34</f>
        <v/>
      </c>
      <c r="C32" s="57">
        <f>Gradebook!C34</f>
        <v/>
      </c>
      <c r="D32" s="40">
        <f>Gradebook!E34</f>
        <v/>
      </c>
      <c r="E32" s="40">
        <f>Gradebook!G34</f>
        <v/>
      </c>
      <c r="F32" s="58">
        <f>IF(B32="","",IF(AND(NOT(ISNUMBER(C32)),NOT(ISNUMBER(D32))),"",(IF(ISNUMBER(C32),Setup!$B$22*C32,0)+IF(ISNUMBER(D32),Setup!$B$23*D32,0))/(IF(ISNUMBER(C32),Setup!$B$22,0)+IF(ISNUMBER(D32),Setup!$B$23,0))))</f>
        <v/>
      </c>
      <c r="G32" s="34">
        <f>IF(ISNUMBER(F32),RANK(F32,$F$8:$F$47,0),"")</f>
        <v/>
      </c>
      <c r="H32" s="40">
        <f>IF(ISNUMBER(F32),IF(COUNT($F$8:$F$47)&lt;=1,1,SUMPRODUCT(--($F$8:$F$47&lt;F32))/(COUNT($F$8:$F$47)-1)),"")</f>
        <v/>
      </c>
      <c r="I32" s="59">
        <f>IF(ISNUMBER(F32),IFERROR((F32-AVERAGE($F$8:$F$47))/STDEVP($F$8:$F$47),0),"")</f>
        <v/>
      </c>
      <c r="J32" s="60">
        <f>IF(ISNUMBER(H32),VLOOKUP(H32,Setup!$G$12:$H$16,2,TRUE),"")</f>
        <v/>
      </c>
      <c r="K32" s="60">
        <f>IF(B32="","",IF(OR(AND(ISNUMBER(C32),C32&lt;Setup!$B$27),AND(ISNUMBER(D32),D32&lt;Setup!$B$28)),"At risk",IF(OR(AND(ISNUMBER(C32),C32&lt;Setup!$B$27+0.1),AND(ISNUMBER(D32),D32&lt;Setup!$B$28+0.1)),"Watch","On track")))</f>
        <v/>
      </c>
      <c r="M32">
        <f>IF(ISNUMBER(F32),G32+SUMPRODUCT(--($F$7:F31=F32)),"")</f>
        <v/>
      </c>
      <c r="N32" s="34">
        <f>IF(25&gt;COUNT($F$8:$F$47),"",25)</f>
        <v/>
      </c>
      <c r="O32" s="61">
        <f>IF(N32="","",INDEX($B$8:$B$47,MATCH(N32,$M$8:$M$47,0)))</f>
        <v/>
      </c>
      <c r="P32" s="57">
        <f>IF(N32="","",INDEX($F$8:$F$47,MATCH(N32,$M$8:$M$47,0)))</f>
        <v/>
      </c>
      <c r="Q32" s="40">
        <f>IF(N32="","",INDEX($H$8:$H$47,MATCH(N32,$M$8:$M$47,0)))</f>
        <v/>
      </c>
      <c r="R32" s="60">
        <f>IF(N32="","",INDEX($K$8:$K$47,MATCH(N32,$M$8:$M$47,0)))</f>
        <v/>
      </c>
    </row>
    <row r="33">
      <c r="A33" s="17" t="n">
        <v>26</v>
      </c>
      <c r="B33" s="53">
        <f>Gradebook!B35</f>
        <v/>
      </c>
      <c r="C33" s="57">
        <f>Gradebook!C35</f>
        <v/>
      </c>
      <c r="D33" s="40">
        <f>Gradebook!E35</f>
        <v/>
      </c>
      <c r="E33" s="40">
        <f>Gradebook!G35</f>
        <v/>
      </c>
      <c r="F33" s="58">
        <f>IF(B33="","",IF(AND(NOT(ISNUMBER(C33)),NOT(ISNUMBER(D33))),"",(IF(ISNUMBER(C33),Setup!$B$22*C33,0)+IF(ISNUMBER(D33),Setup!$B$23*D33,0))/(IF(ISNUMBER(C33),Setup!$B$22,0)+IF(ISNUMBER(D33),Setup!$B$23,0))))</f>
        <v/>
      </c>
      <c r="G33" s="34">
        <f>IF(ISNUMBER(F33),RANK(F33,$F$8:$F$47,0),"")</f>
        <v/>
      </c>
      <c r="H33" s="40">
        <f>IF(ISNUMBER(F33),IF(COUNT($F$8:$F$47)&lt;=1,1,SUMPRODUCT(--($F$8:$F$47&lt;F33))/(COUNT($F$8:$F$47)-1)),"")</f>
        <v/>
      </c>
      <c r="I33" s="59">
        <f>IF(ISNUMBER(F33),IFERROR((F33-AVERAGE($F$8:$F$47))/STDEVP($F$8:$F$47),0),"")</f>
        <v/>
      </c>
      <c r="J33" s="60">
        <f>IF(ISNUMBER(H33),VLOOKUP(H33,Setup!$G$12:$H$16,2,TRUE),"")</f>
        <v/>
      </c>
      <c r="K33" s="60">
        <f>IF(B33="","",IF(OR(AND(ISNUMBER(C33),C33&lt;Setup!$B$27),AND(ISNUMBER(D33),D33&lt;Setup!$B$28)),"At risk",IF(OR(AND(ISNUMBER(C33),C33&lt;Setup!$B$27+0.1),AND(ISNUMBER(D33),D33&lt;Setup!$B$28+0.1)),"Watch","On track")))</f>
        <v/>
      </c>
      <c r="M33">
        <f>IF(ISNUMBER(F33),G33+SUMPRODUCT(--($F$7:F32=F33)),"")</f>
        <v/>
      </c>
      <c r="N33" s="34">
        <f>IF(26&gt;COUNT($F$8:$F$47),"",26)</f>
        <v/>
      </c>
      <c r="O33" s="61">
        <f>IF(N33="","",INDEX($B$8:$B$47,MATCH(N33,$M$8:$M$47,0)))</f>
        <v/>
      </c>
      <c r="P33" s="57">
        <f>IF(N33="","",INDEX($F$8:$F$47,MATCH(N33,$M$8:$M$47,0)))</f>
        <v/>
      </c>
      <c r="Q33" s="40">
        <f>IF(N33="","",INDEX($H$8:$H$47,MATCH(N33,$M$8:$M$47,0)))</f>
        <v/>
      </c>
      <c r="R33" s="60">
        <f>IF(N33="","",INDEX($K$8:$K$47,MATCH(N33,$M$8:$M$47,0)))</f>
        <v/>
      </c>
    </row>
    <row r="34">
      <c r="A34" s="17" t="n">
        <v>27</v>
      </c>
      <c r="B34" s="53">
        <f>Gradebook!B36</f>
        <v/>
      </c>
      <c r="C34" s="57">
        <f>Gradebook!C36</f>
        <v/>
      </c>
      <c r="D34" s="40">
        <f>Gradebook!E36</f>
        <v/>
      </c>
      <c r="E34" s="40">
        <f>Gradebook!G36</f>
        <v/>
      </c>
      <c r="F34" s="58">
        <f>IF(B34="","",IF(AND(NOT(ISNUMBER(C34)),NOT(ISNUMBER(D34))),"",(IF(ISNUMBER(C34),Setup!$B$22*C34,0)+IF(ISNUMBER(D34),Setup!$B$23*D34,0))/(IF(ISNUMBER(C34),Setup!$B$22,0)+IF(ISNUMBER(D34),Setup!$B$23,0))))</f>
        <v/>
      </c>
      <c r="G34" s="34">
        <f>IF(ISNUMBER(F34),RANK(F34,$F$8:$F$47,0),"")</f>
        <v/>
      </c>
      <c r="H34" s="40">
        <f>IF(ISNUMBER(F34),IF(COUNT($F$8:$F$47)&lt;=1,1,SUMPRODUCT(--($F$8:$F$47&lt;F34))/(COUNT($F$8:$F$47)-1)),"")</f>
        <v/>
      </c>
      <c r="I34" s="59">
        <f>IF(ISNUMBER(F34),IFERROR((F34-AVERAGE($F$8:$F$47))/STDEVP($F$8:$F$47),0),"")</f>
        <v/>
      </c>
      <c r="J34" s="60">
        <f>IF(ISNUMBER(H34),VLOOKUP(H34,Setup!$G$12:$H$16,2,TRUE),"")</f>
        <v/>
      </c>
      <c r="K34" s="60">
        <f>IF(B34="","",IF(OR(AND(ISNUMBER(C34),C34&lt;Setup!$B$27),AND(ISNUMBER(D34),D34&lt;Setup!$B$28)),"At risk",IF(OR(AND(ISNUMBER(C34),C34&lt;Setup!$B$27+0.1),AND(ISNUMBER(D34),D34&lt;Setup!$B$28+0.1)),"Watch","On track")))</f>
        <v/>
      </c>
      <c r="M34">
        <f>IF(ISNUMBER(F34),G34+SUMPRODUCT(--($F$7:F33=F34)),"")</f>
        <v/>
      </c>
      <c r="N34" s="34">
        <f>IF(27&gt;COUNT($F$8:$F$47),"",27)</f>
        <v/>
      </c>
      <c r="O34" s="61">
        <f>IF(N34="","",INDEX($B$8:$B$47,MATCH(N34,$M$8:$M$47,0)))</f>
        <v/>
      </c>
      <c r="P34" s="57">
        <f>IF(N34="","",INDEX($F$8:$F$47,MATCH(N34,$M$8:$M$47,0)))</f>
        <v/>
      </c>
      <c r="Q34" s="40">
        <f>IF(N34="","",INDEX($H$8:$H$47,MATCH(N34,$M$8:$M$47,0)))</f>
        <v/>
      </c>
      <c r="R34" s="60">
        <f>IF(N34="","",INDEX($K$8:$K$47,MATCH(N34,$M$8:$M$47,0)))</f>
        <v/>
      </c>
    </row>
    <row r="35">
      <c r="A35" s="17" t="n">
        <v>28</v>
      </c>
      <c r="B35" s="53">
        <f>Gradebook!B37</f>
        <v/>
      </c>
      <c r="C35" s="57">
        <f>Gradebook!C37</f>
        <v/>
      </c>
      <c r="D35" s="40">
        <f>Gradebook!E37</f>
        <v/>
      </c>
      <c r="E35" s="40">
        <f>Gradebook!G37</f>
        <v/>
      </c>
      <c r="F35" s="58">
        <f>IF(B35="","",IF(AND(NOT(ISNUMBER(C35)),NOT(ISNUMBER(D35))),"",(IF(ISNUMBER(C35),Setup!$B$22*C35,0)+IF(ISNUMBER(D35),Setup!$B$23*D35,0))/(IF(ISNUMBER(C35),Setup!$B$22,0)+IF(ISNUMBER(D35),Setup!$B$23,0))))</f>
        <v/>
      </c>
      <c r="G35" s="34">
        <f>IF(ISNUMBER(F35),RANK(F35,$F$8:$F$47,0),"")</f>
        <v/>
      </c>
      <c r="H35" s="40">
        <f>IF(ISNUMBER(F35),IF(COUNT($F$8:$F$47)&lt;=1,1,SUMPRODUCT(--($F$8:$F$47&lt;F35))/(COUNT($F$8:$F$47)-1)),"")</f>
        <v/>
      </c>
      <c r="I35" s="59">
        <f>IF(ISNUMBER(F35),IFERROR((F35-AVERAGE($F$8:$F$47))/STDEVP($F$8:$F$47),0),"")</f>
        <v/>
      </c>
      <c r="J35" s="60">
        <f>IF(ISNUMBER(H35),VLOOKUP(H35,Setup!$G$12:$H$16,2,TRUE),"")</f>
        <v/>
      </c>
      <c r="K35" s="60">
        <f>IF(B35="","",IF(OR(AND(ISNUMBER(C35),C35&lt;Setup!$B$27),AND(ISNUMBER(D35),D35&lt;Setup!$B$28)),"At risk",IF(OR(AND(ISNUMBER(C35),C35&lt;Setup!$B$27+0.1),AND(ISNUMBER(D35),D35&lt;Setup!$B$28+0.1)),"Watch","On track")))</f>
        <v/>
      </c>
      <c r="M35">
        <f>IF(ISNUMBER(F35),G35+SUMPRODUCT(--($F$7:F34=F35)),"")</f>
        <v/>
      </c>
      <c r="N35" s="34">
        <f>IF(28&gt;COUNT($F$8:$F$47),"",28)</f>
        <v/>
      </c>
      <c r="O35" s="61">
        <f>IF(N35="","",INDEX($B$8:$B$47,MATCH(N35,$M$8:$M$47,0)))</f>
        <v/>
      </c>
      <c r="P35" s="57">
        <f>IF(N35="","",INDEX($F$8:$F$47,MATCH(N35,$M$8:$M$47,0)))</f>
        <v/>
      </c>
      <c r="Q35" s="40">
        <f>IF(N35="","",INDEX($H$8:$H$47,MATCH(N35,$M$8:$M$47,0)))</f>
        <v/>
      </c>
      <c r="R35" s="60">
        <f>IF(N35="","",INDEX($K$8:$K$47,MATCH(N35,$M$8:$M$47,0)))</f>
        <v/>
      </c>
    </row>
    <row r="36">
      <c r="A36" s="17" t="n">
        <v>29</v>
      </c>
      <c r="B36" s="53">
        <f>Gradebook!B38</f>
        <v/>
      </c>
      <c r="C36" s="57">
        <f>Gradebook!C38</f>
        <v/>
      </c>
      <c r="D36" s="40">
        <f>Gradebook!E38</f>
        <v/>
      </c>
      <c r="E36" s="40">
        <f>Gradebook!G38</f>
        <v/>
      </c>
      <c r="F36" s="58">
        <f>IF(B36="","",IF(AND(NOT(ISNUMBER(C36)),NOT(ISNUMBER(D36))),"",(IF(ISNUMBER(C36),Setup!$B$22*C36,0)+IF(ISNUMBER(D36),Setup!$B$23*D36,0))/(IF(ISNUMBER(C36),Setup!$B$22,0)+IF(ISNUMBER(D36),Setup!$B$23,0))))</f>
        <v/>
      </c>
      <c r="G36" s="34">
        <f>IF(ISNUMBER(F36),RANK(F36,$F$8:$F$47,0),"")</f>
        <v/>
      </c>
      <c r="H36" s="40">
        <f>IF(ISNUMBER(F36),IF(COUNT($F$8:$F$47)&lt;=1,1,SUMPRODUCT(--($F$8:$F$47&lt;F36))/(COUNT($F$8:$F$47)-1)),"")</f>
        <v/>
      </c>
      <c r="I36" s="59">
        <f>IF(ISNUMBER(F36),IFERROR((F36-AVERAGE($F$8:$F$47))/STDEVP($F$8:$F$47),0),"")</f>
        <v/>
      </c>
      <c r="J36" s="60">
        <f>IF(ISNUMBER(H36),VLOOKUP(H36,Setup!$G$12:$H$16,2,TRUE),"")</f>
        <v/>
      </c>
      <c r="K36" s="60">
        <f>IF(B36="","",IF(OR(AND(ISNUMBER(C36),C36&lt;Setup!$B$27),AND(ISNUMBER(D36),D36&lt;Setup!$B$28)),"At risk",IF(OR(AND(ISNUMBER(C36),C36&lt;Setup!$B$27+0.1),AND(ISNUMBER(D36),D36&lt;Setup!$B$28+0.1)),"Watch","On track")))</f>
        <v/>
      </c>
      <c r="M36">
        <f>IF(ISNUMBER(F36),G36+SUMPRODUCT(--($F$7:F35=F36)),"")</f>
        <v/>
      </c>
      <c r="N36" s="34">
        <f>IF(29&gt;COUNT($F$8:$F$47),"",29)</f>
        <v/>
      </c>
      <c r="O36" s="61">
        <f>IF(N36="","",INDEX($B$8:$B$47,MATCH(N36,$M$8:$M$47,0)))</f>
        <v/>
      </c>
      <c r="P36" s="57">
        <f>IF(N36="","",INDEX($F$8:$F$47,MATCH(N36,$M$8:$M$47,0)))</f>
        <v/>
      </c>
      <c r="Q36" s="40">
        <f>IF(N36="","",INDEX($H$8:$H$47,MATCH(N36,$M$8:$M$47,0)))</f>
        <v/>
      </c>
      <c r="R36" s="60">
        <f>IF(N36="","",INDEX($K$8:$K$47,MATCH(N36,$M$8:$M$47,0)))</f>
        <v/>
      </c>
    </row>
    <row r="37">
      <c r="A37" s="17" t="n">
        <v>30</v>
      </c>
      <c r="B37" s="53">
        <f>Gradebook!B39</f>
        <v/>
      </c>
      <c r="C37" s="57">
        <f>Gradebook!C39</f>
        <v/>
      </c>
      <c r="D37" s="40">
        <f>Gradebook!E39</f>
        <v/>
      </c>
      <c r="E37" s="40">
        <f>Gradebook!G39</f>
        <v/>
      </c>
      <c r="F37" s="58">
        <f>IF(B37="","",IF(AND(NOT(ISNUMBER(C37)),NOT(ISNUMBER(D37))),"",(IF(ISNUMBER(C37),Setup!$B$22*C37,0)+IF(ISNUMBER(D37),Setup!$B$23*D37,0))/(IF(ISNUMBER(C37),Setup!$B$22,0)+IF(ISNUMBER(D37),Setup!$B$23,0))))</f>
        <v/>
      </c>
      <c r="G37" s="34">
        <f>IF(ISNUMBER(F37),RANK(F37,$F$8:$F$47,0),"")</f>
        <v/>
      </c>
      <c r="H37" s="40">
        <f>IF(ISNUMBER(F37),IF(COUNT($F$8:$F$47)&lt;=1,1,SUMPRODUCT(--($F$8:$F$47&lt;F37))/(COUNT($F$8:$F$47)-1)),"")</f>
        <v/>
      </c>
      <c r="I37" s="59">
        <f>IF(ISNUMBER(F37),IFERROR((F37-AVERAGE($F$8:$F$47))/STDEVP($F$8:$F$47),0),"")</f>
        <v/>
      </c>
      <c r="J37" s="60">
        <f>IF(ISNUMBER(H37),VLOOKUP(H37,Setup!$G$12:$H$16,2,TRUE),"")</f>
        <v/>
      </c>
      <c r="K37" s="60">
        <f>IF(B37="","",IF(OR(AND(ISNUMBER(C37),C37&lt;Setup!$B$27),AND(ISNUMBER(D37),D37&lt;Setup!$B$28)),"At risk",IF(OR(AND(ISNUMBER(C37),C37&lt;Setup!$B$27+0.1),AND(ISNUMBER(D37),D37&lt;Setup!$B$28+0.1)),"Watch","On track")))</f>
        <v/>
      </c>
      <c r="M37">
        <f>IF(ISNUMBER(F37),G37+SUMPRODUCT(--($F$7:F36=F37)),"")</f>
        <v/>
      </c>
      <c r="N37" s="34">
        <f>IF(30&gt;COUNT($F$8:$F$47),"",30)</f>
        <v/>
      </c>
      <c r="O37" s="61">
        <f>IF(N37="","",INDEX($B$8:$B$47,MATCH(N37,$M$8:$M$47,0)))</f>
        <v/>
      </c>
      <c r="P37" s="57">
        <f>IF(N37="","",INDEX($F$8:$F$47,MATCH(N37,$M$8:$M$47,0)))</f>
        <v/>
      </c>
      <c r="Q37" s="40">
        <f>IF(N37="","",INDEX($H$8:$H$47,MATCH(N37,$M$8:$M$47,0)))</f>
        <v/>
      </c>
      <c r="R37" s="60">
        <f>IF(N37="","",INDEX($K$8:$K$47,MATCH(N37,$M$8:$M$47,0)))</f>
        <v/>
      </c>
    </row>
    <row r="38">
      <c r="A38" s="17" t="n">
        <v>31</v>
      </c>
      <c r="B38" s="53">
        <f>Gradebook!B40</f>
        <v/>
      </c>
      <c r="C38" s="57">
        <f>Gradebook!C40</f>
        <v/>
      </c>
      <c r="D38" s="40">
        <f>Gradebook!E40</f>
        <v/>
      </c>
      <c r="E38" s="40">
        <f>Gradebook!G40</f>
        <v/>
      </c>
      <c r="F38" s="58">
        <f>IF(B38="","",IF(AND(NOT(ISNUMBER(C38)),NOT(ISNUMBER(D38))),"",(IF(ISNUMBER(C38),Setup!$B$22*C38,0)+IF(ISNUMBER(D38),Setup!$B$23*D38,0))/(IF(ISNUMBER(C38),Setup!$B$22,0)+IF(ISNUMBER(D38),Setup!$B$23,0))))</f>
        <v/>
      </c>
      <c r="G38" s="34">
        <f>IF(ISNUMBER(F38),RANK(F38,$F$8:$F$47,0),"")</f>
        <v/>
      </c>
      <c r="H38" s="40">
        <f>IF(ISNUMBER(F38),IF(COUNT($F$8:$F$47)&lt;=1,1,SUMPRODUCT(--($F$8:$F$47&lt;F38))/(COUNT($F$8:$F$47)-1)),"")</f>
        <v/>
      </c>
      <c r="I38" s="59">
        <f>IF(ISNUMBER(F38),IFERROR((F38-AVERAGE($F$8:$F$47))/STDEVP($F$8:$F$47),0),"")</f>
        <v/>
      </c>
      <c r="J38" s="60">
        <f>IF(ISNUMBER(H38),VLOOKUP(H38,Setup!$G$12:$H$16,2,TRUE),"")</f>
        <v/>
      </c>
      <c r="K38" s="60">
        <f>IF(B38="","",IF(OR(AND(ISNUMBER(C38),C38&lt;Setup!$B$27),AND(ISNUMBER(D38),D38&lt;Setup!$B$28)),"At risk",IF(OR(AND(ISNUMBER(C38),C38&lt;Setup!$B$27+0.1),AND(ISNUMBER(D38),D38&lt;Setup!$B$28+0.1)),"Watch","On track")))</f>
        <v/>
      </c>
      <c r="M38">
        <f>IF(ISNUMBER(F38),G38+SUMPRODUCT(--($F$7:F37=F38)),"")</f>
        <v/>
      </c>
      <c r="N38" s="34">
        <f>IF(31&gt;COUNT($F$8:$F$47),"",31)</f>
        <v/>
      </c>
      <c r="O38" s="61">
        <f>IF(N38="","",INDEX($B$8:$B$47,MATCH(N38,$M$8:$M$47,0)))</f>
        <v/>
      </c>
      <c r="P38" s="57">
        <f>IF(N38="","",INDEX($F$8:$F$47,MATCH(N38,$M$8:$M$47,0)))</f>
        <v/>
      </c>
      <c r="Q38" s="40">
        <f>IF(N38="","",INDEX($H$8:$H$47,MATCH(N38,$M$8:$M$47,0)))</f>
        <v/>
      </c>
      <c r="R38" s="60">
        <f>IF(N38="","",INDEX($K$8:$K$47,MATCH(N38,$M$8:$M$47,0)))</f>
        <v/>
      </c>
    </row>
    <row r="39">
      <c r="A39" s="17" t="n">
        <v>32</v>
      </c>
      <c r="B39" s="53">
        <f>Gradebook!B41</f>
        <v/>
      </c>
      <c r="C39" s="57">
        <f>Gradebook!C41</f>
        <v/>
      </c>
      <c r="D39" s="40">
        <f>Gradebook!E41</f>
        <v/>
      </c>
      <c r="E39" s="40">
        <f>Gradebook!G41</f>
        <v/>
      </c>
      <c r="F39" s="58">
        <f>IF(B39="","",IF(AND(NOT(ISNUMBER(C39)),NOT(ISNUMBER(D39))),"",(IF(ISNUMBER(C39),Setup!$B$22*C39,0)+IF(ISNUMBER(D39),Setup!$B$23*D39,0))/(IF(ISNUMBER(C39),Setup!$B$22,0)+IF(ISNUMBER(D39),Setup!$B$23,0))))</f>
        <v/>
      </c>
      <c r="G39" s="34">
        <f>IF(ISNUMBER(F39),RANK(F39,$F$8:$F$47,0),"")</f>
        <v/>
      </c>
      <c r="H39" s="40">
        <f>IF(ISNUMBER(F39),IF(COUNT($F$8:$F$47)&lt;=1,1,SUMPRODUCT(--($F$8:$F$47&lt;F39))/(COUNT($F$8:$F$47)-1)),"")</f>
        <v/>
      </c>
      <c r="I39" s="59">
        <f>IF(ISNUMBER(F39),IFERROR((F39-AVERAGE($F$8:$F$47))/STDEVP($F$8:$F$47),0),"")</f>
        <v/>
      </c>
      <c r="J39" s="60">
        <f>IF(ISNUMBER(H39),VLOOKUP(H39,Setup!$G$12:$H$16,2,TRUE),"")</f>
        <v/>
      </c>
      <c r="K39" s="60">
        <f>IF(B39="","",IF(OR(AND(ISNUMBER(C39),C39&lt;Setup!$B$27),AND(ISNUMBER(D39),D39&lt;Setup!$B$28)),"At risk",IF(OR(AND(ISNUMBER(C39),C39&lt;Setup!$B$27+0.1),AND(ISNUMBER(D39),D39&lt;Setup!$B$28+0.1)),"Watch","On track")))</f>
        <v/>
      </c>
      <c r="M39">
        <f>IF(ISNUMBER(F39),G39+SUMPRODUCT(--($F$7:F38=F39)),"")</f>
        <v/>
      </c>
      <c r="N39" s="34">
        <f>IF(32&gt;COUNT($F$8:$F$47),"",32)</f>
        <v/>
      </c>
      <c r="O39" s="61">
        <f>IF(N39="","",INDEX($B$8:$B$47,MATCH(N39,$M$8:$M$47,0)))</f>
        <v/>
      </c>
      <c r="P39" s="57">
        <f>IF(N39="","",INDEX($F$8:$F$47,MATCH(N39,$M$8:$M$47,0)))</f>
        <v/>
      </c>
      <c r="Q39" s="40">
        <f>IF(N39="","",INDEX($H$8:$H$47,MATCH(N39,$M$8:$M$47,0)))</f>
        <v/>
      </c>
      <c r="R39" s="60">
        <f>IF(N39="","",INDEX($K$8:$K$47,MATCH(N39,$M$8:$M$47,0)))</f>
        <v/>
      </c>
    </row>
    <row r="40">
      <c r="A40" s="17" t="n">
        <v>33</v>
      </c>
      <c r="B40" s="53">
        <f>Gradebook!B42</f>
        <v/>
      </c>
      <c r="C40" s="57">
        <f>Gradebook!C42</f>
        <v/>
      </c>
      <c r="D40" s="40">
        <f>Gradebook!E42</f>
        <v/>
      </c>
      <c r="E40" s="40">
        <f>Gradebook!G42</f>
        <v/>
      </c>
      <c r="F40" s="58">
        <f>IF(B40="","",IF(AND(NOT(ISNUMBER(C40)),NOT(ISNUMBER(D40))),"",(IF(ISNUMBER(C40),Setup!$B$22*C40,0)+IF(ISNUMBER(D40),Setup!$B$23*D40,0))/(IF(ISNUMBER(C40),Setup!$B$22,0)+IF(ISNUMBER(D40),Setup!$B$23,0))))</f>
        <v/>
      </c>
      <c r="G40" s="34">
        <f>IF(ISNUMBER(F40),RANK(F40,$F$8:$F$47,0),"")</f>
        <v/>
      </c>
      <c r="H40" s="40">
        <f>IF(ISNUMBER(F40),IF(COUNT($F$8:$F$47)&lt;=1,1,SUMPRODUCT(--($F$8:$F$47&lt;F40))/(COUNT($F$8:$F$47)-1)),"")</f>
        <v/>
      </c>
      <c r="I40" s="59">
        <f>IF(ISNUMBER(F40),IFERROR((F40-AVERAGE($F$8:$F$47))/STDEVP($F$8:$F$47),0),"")</f>
        <v/>
      </c>
      <c r="J40" s="60">
        <f>IF(ISNUMBER(H40),VLOOKUP(H40,Setup!$G$12:$H$16,2,TRUE),"")</f>
        <v/>
      </c>
      <c r="K40" s="60">
        <f>IF(B40="","",IF(OR(AND(ISNUMBER(C40),C40&lt;Setup!$B$27),AND(ISNUMBER(D40),D40&lt;Setup!$B$28)),"At risk",IF(OR(AND(ISNUMBER(C40),C40&lt;Setup!$B$27+0.1),AND(ISNUMBER(D40),D40&lt;Setup!$B$28+0.1)),"Watch","On track")))</f>
        <v/>
      </c>
      <c r="M40">
        <f>IF(ISNUMBER(F40),G40+SUMPRODUCT(--($F$7:F39=F40)),"")</f>
        <v/>
      </c>
      <c r="N40" s="34">
        <f>IF(33&gt;COUNT($F$8:$F$47),"",33)</f>
        <v/>
      </c>
      <c r="O40" s="61">
        <f>IF(N40="","",INDEX($B$8:$B$47,MATCH(N40,$M$8:$M$47,0)))</f>
        <v/>
      </c>
      <c r="P40" s="57">
        <f>IF(N40="","",INDEX($F$8:$F$47,MATCH(N40,$M$8:$M$47,0)))</f>
        <v/>
      </c>
      <c r="Q40" s="40">
        <f>IF(N40="","",INDEX($H$8:$H$47,MATCH(N40,$M$8:$M$47,0)))</f>
        <v/>
      </c>
      <c r="R40" s="60">
        <f>IF(N40="","",INDEX($K$8:$K$47,MATCH(N40,$M$8:$M$47,0)))</f>
        <v/>
      </c>
    </row>
    <row r="41">
      <c r="A41" s="17" t="n">
        <v>34</v>
      </c>
      <c r="B41" s="53">
        <f>Gradebook!B43</f>
        <v/>
      </c>
      <c r="C41" s="57">
        <f>Gradebook!C43</f>
        <v/>
      </c>
      <c r="D41" s="40">
        <f>Gradebook!E43</f>
        <v/>
      </c>
      <c r="E41" s="40">
        <f>Gradebook!G43</f>
        <v/>
      </c>
      <c r="F41" s="58">
        <f>IF(B41="","",IF(AND(NOT(ISNUMBER(C41)),NOT(ISNUMBER(D41))),"",(IF(ISNUMBER(C41),Setup!$B$22*C41,0)+IF(ISNUMBER(D41),Setup!$B$23*D41,0))/(IF(ISNUMBER(C41),Setup!$B$22,0)+IF(ISNUMBER(D41),Setup!$B$23,0))))</f>
        <v/>
      </c>
      <c r="G41" s="34">
        <f>IF(ISNUMBER(F41),RANK(F41,$F$8:$F$47,0),"")</f>
        <v/>
      </c>
      <c r="H41" s="40">
        <f>IF(ISNUMBER(F41),IF(COUNT($F$8:$F$47)&lt;=1,1,SUMPRODUCT(--($F$8:$F$47&lt;F41))/(COUNT($F$8:$F$47)-1)),"")</f>
        <v/>
      </c>
      <c r="I41" s="59">
        <f>IF(ISNUMBER(F41),IFERROR((F41-AVERAGE($F$8:$F$47))/STDEVP($F$8:$F$47),0),"")</f>
        <v/>
      </c>
      <c r="J41" s="60">
        <f>IF(ISNUMBER(H41),VLOOKUP(H41,Setup!$G$12:$H$16,2,TRUE),"")</f>
        <v/>
      </c>
      <c r="K41" s="60">
        <f>IF(B41="","",IF(OR(AND(ISNUMBER(C41),C41&lt;Setup!$B$27),AND(ISNUMBER(D41),D41&lt;Setup!$B$28)),"At risk",IF(OR(AND(ISNUMBER(C41),C41&lt;Setup!$B$27+0.1),AND(ISNUMBER(D41),D41&lt;Setup!$B$28+0.1)),"Watch","On track")))</f>
        <v/>
      </c>
      <c r="M41">
        <f>IF(ISNUMBER(F41),G41+SUMPRODUCT(--($F$7:F40=F41)),"")</f>
        <v/>
      </c>
      <c r="N41" s="34">
        <f>IF(34&gt;COUNT($F$8:$F$47),"",34)</f>
        <v/>
      </c>
      <c r="O41" s="61">
        <f>IF(N41="","",INDEX($B$8:$B$47,MATCH(N41,$M$8:$M$47,0)))</f>
        <v/>
      </c>
      <c r="P41" s="57">
        <f>IF(N41="","",INDEX($F$8:$F$47,MATCH(N41,$M$8:$M$47,0)))</f>
        <v/>
      </c>
      <c r="Q41" s="40">
        <f>IF(N41="","",INDEX($H$8:$H$47,MATCH(N41,$M$8:$M$47,0)))</f>
        <v/>
      </c>
      <c r="R41" s="60">
        <f>IF(N41="","",INDEX($K$8:$K$47,MATCH(N41,$M$8:$M$47,0)))</f>
        <v/>
      </c>
    </row>
    <row r="42">
      <c r="A42" s="17" t="n">
        <v>35</v>
      </c>
      <c r="B42" s="53">
        <f>Gradebook!B44</f>
        <v/>
      </c>
      <c r="C42" s="57">
        <f>Gradebook!C44</f>
        <v/>
      </c>
      <c r="D42" s="40">
        <f>Gradebook!E44</f>
        <v/>
      </c>
      <c r="E42" s="40">
        <f>Gradebook!G44</f>
        <v/>
      </c>
      <c r="F42" s="58">
        <f>IF(B42="","",IF(AND(NOT(ISNUMBER(C42)),NOT(ISNUMBER(D42))),"",(IF(ISNUMBER(C42),Setup!$B$22*C42,0)+IF(ISNUMBER(D42),Setup!$B$23*D42,0))/(IF(ISNUMBER(C42),Setup!$B$22,0)+IF(ISNUMBER(D42),Setup!$B$23,0))))</f>
        <v/>
      </c>
      <c r="G42" s="34">
        <f>IF(ISNUMBER(F42),RANK(F42,$F$8:$F$47,0),"")</f>
        <v/>
      </c>
      <c r="H42" s="40">
        <f>IF(ISNUMBER(F42),IF(COUNT($F$8:$F$47)&lt;=1,1,SUMPRODUCT(--($F$8:$F$47&lt;F42))/(COUNT($F$8:$F$47)-1)),"")</f>
        <v/>
      </c>
      <c r="I42" s="59">
        <f>IF(ISNUMBER(F42),IFERROR((F42-AVERAGE($F$8:$F$47))/STDEVP($F$8:$F$47),0),"")</f>
        <v/>
      </c>
      <c r="J42" s="60">
        <f>IF(ISNUMBER(H42),VLOOKUP(H42,Setup!$G$12:$H$16,2,TRUE),"")</f>
        <v/>
      </c>
      <c r="K42" s="60">
        <f>IF(B42="","",IF(OR(AND(ISNUMBER(C42),C42&lt;Setup!$B$27),AND(ISNUMBER(D42),D42&lt;Setup!$B$28)),"At risk",IF(OR(AND(ISNUMBER(C42),C42&lt;Setup!$B$27+0.1),AND(ISNUMBER(D42),D42&lt;Setup!$B$28+0.1)),"Watch","On track")))</f>
        <v/>
      </c>
      <c r="M42">
        <f>IF(ISNUMBER(F42),G42+SUMPRODUCT(--($F$7:F41=F42)),"")</f>
        <v/>
      </c>
      <c r="N42" s="34">
        <f>IF(35&gt;COUNT($F$8:$F$47),"",35)</f>
        <v/>
      </c>
      <c r="O42" s="61">
        <f>IF(N42="","",INDEX($B$8:$B$47,MATCH(N42,$M$8:$M$47,0)))</f>
        <v/>
      </c>
      <c r="P42" s="57">
        <f>IF(N42="","",INDEX($F$8:$F$47,MATCH(N42,$M$8:$M$47,0)))</f>
        <v/>
      </c>
      <c r="Q42" s="40">
        <f>IF(N42="","",INDEX($H$8:$H$47,MATCH(N42,$M$8:$M$47,0)))</f>
        <v/>
      </c>
      <c r="R42" s="60">
        <f>IF(N42="","",INDEX($K$8:$K$47,MATCH(N42,$M$8:$M$47,0)))</f>
        <v/>
      </c>
    </row>
    <row r="43">
      <c r="A43" s="17" t="n">
        <v>36</v>
      </c>
      <c r="B43" s="53">
        <f>Gradebook!B45</f>
        <v/>
      </c>
      <c r="C43" s="57">
        <f>Gradebook!C45</f>
        <v/>
      </c>
      <c r="D43" s="40">
        <f>Gradebook!E45</f>
        <v/>
      </c>
      <c r="E43" s="40">
        <f>Gradebook!G45</f>
        <v/>
      </c>
      <c r="F43" s="58">
        <f>IF(B43="","",IF(AND(NOT(ISNUMBER(C43)),NOT(ISNUMBER(D43))),"",(IF(ISNUMBER(C43),Setup!$B$22*C43,0)+IF(ISNUMBER(D43),Setup!$B$23*D43,0))/(IF(ISNUMBER(C43),Setup!$B$22,0)+IF(ISNUMBER(D43),Setup!$B$23,0))))</f>
        <v/>
      </c>
      <c r="G43" s="34">
        <f>IF(ISNUMBER(F43),RANK(F43,$F$8:$F$47,0),"")</f>
        <v/>
      </c>
      <c r="H43" s="40">
        <f>IF(ISNUMBER(F43),IF(COUNT($F$8:$F$47)&lt;=1,1,SUMPRODUCT(--($F$8:$F$47&lt;F43))/(COUNT($F$8:$F$47)-1)),"")</f>
        <v/>
      </c>
      <c r="I43" s="59">
        <f>IF(ISNUMBER(F43),IFERROR((F43-AVERAGE($F$8:$F$47))/STDEVP($F$8:$F$47),0),"")</f>
        <v/>
      </c>
      <c r="J43" s="60">
        <f>IF(ISNUMBER(H43),VLOOKUP(H43,Setup!$G$12:$H$16,2,TRUE),"")</f>
        <v/>
      </c>
      <c r="K43" s="60">
        <f>IF(B43="","",IF(OR(AND(ISNUMBER(C43),C43&lt;Setup!$B$27),AND(ISNUMBER(D43),D43&lt;Setup!$B$28)),"At risk",IF(OR(AND(ISNUMBER(C43),C43&lt;Setup!$B$27+0.1),AND(ISNUMBER(D43),D43&lt;Setup!$B$28+0.1)),"Watch","On track")))</f>
        <v/>
      </c>
      <c r="M43">
        <f>IF(ISNUMBER(F43),G43+SUMPRODUCT(--($F$7:F42=F43)),"")</f>
        <v/>
      </c>
      <c r="N43" s="34">
        <f>IF(36&gt;COUNT($F$8:$F$47),"",36)</f>
        <v/>
      </c>
      <c r="O43" s="61">
        <f>IF(N43="","",INDEX($B$8:$B$47,MATCH(N43,$M$8:$M$47,0)))</f>
        <v/>
      </c>
      <c r="P43" s="57">
        <f>IF(N43="","",INDEX($F$8:$F$47,MATCH(N43,$M$8:$M$47,0)))</f>
        <v/>
      </c>
      <c r="Q43" s="40">
        <f>IF(N43="","",INDEX($H$8:$H$47,MATCH(N43,$M$8:$M$47,0)))</f>
        <v/>
      </c>
      <c r="R43" s="60">
        <f>IF(N43="","",INDEX($K$8:$K$47,MATCH(N43,$M$8:$M$47,0)))</f>
        <v/>
      </c>
    </row>
    <row r="44">
      <c r="A44" s="17" t="n">
        <v>37</v>
      </c>
      <c r="B44" s="53">
        <f>Gradebook!B46</f>
        <v/>
      </c>
      <c r="C44" s="57">
        <f>Gradebook!C46</f>
        <v/>
      </c>
      <c r="D44" s="40">
        <f>Gradebook!E46</f>
        <v/>
      </c>
      <c r="E44" s="40">
        <f>Gradebook!G46</f>
        <v/>
      </c>
      <c r="F44" s="58">
        <f>IF(B44="","",IF(AND(NOT(ISNUMBER(C44)),NOT(ISNUMBER(D44))),"",(IF(ISNUMBER(C44),Setup!$B$22*C44,0)+IF(ISNUMBER(D44),Setup!$B$23*D44,0))/(IF(ISNUMBER(C44),Setup!$B$22,0)+IF(ISNUMBER(D44),Setup!$B$23,0))))</f>
        <v/>
      </c>
      <c r="G44" s="34">
        <f>IF(ISNUMBER(F44),RANK(F44,$F$8:$F$47,0),"")</f>
        <v/>
      </c>
      <c r="H44" s="40">
        <f>IF(ISNUMBER(F44),IF(COUNT($F$8:$F$47)&lt;=1,1,SUMPRODUCT(--($F$8:$F$47&lt;F44))/(COUNT($F$8:$F$47)-1)),"")</f>
        <v/>
      </c>
      <c r="I44" s="59">
        <f>IF(ISNUMBER(F44),IFERROR((F44-AVERAGE($F$8:$F$47))/STDEVP($F$8:$F$47),0),"")</f>
        <v/>
      </c>
      <c r="J44" s="60">
        <f>IF(ISNUMBER(H44),VLOOKUP(H44,Setup!$G$12:$H$16,2,TRUE),"")</f>
        <v/>
      </c>
      <c r="K44" s="60">
        <f>IF(B44="","",IF(OR(AND(ISNUMBER(C44),C44&lt;Setup!$B$27),AND(ISNUMBER(D44),D44&lt;Setup!$B$28)),"At risk",IF(OR(AND(ISNUMBER(C44),C44&lt;Setup!$B$27+0.1),AND(ISNUMBER(D44),D44&lt;Setup!$B$28+0.1)),"Watch","On track")))</f>
        <v/>
      </c>
      <c r="M44">
        <f>IF(ISNUMBER(F44),G44+SUMPRODUCT(--($F$7:F43=F44)),"")</f>
        <v/>
      </c>
      <c r="N44" s="34">
        <f>IF(37&gt;COUNT($F$8:$F$47),"",37)</f>
        <v/>
      </c>
      <c r="O44" s="61">
        <f>IF(N44="","",INDEX($B$8:$B$47,MATCH(N44,$M$8:$M$47,0)))</f>
        <v/>
      </c>
      <c r="P44" s="57">
        <f>IF(N44="","",INDEX($F$8:$F$47,MATCH(N44,$M$8:$M$47,0)))</f>
        <v/>
      </c>
      <c r="Q44" s="40">
        <f>IF(N44="","",INDEX($H$8:$H$47,MATCH(N44,$M$8:$M$47,0)))</f>
        <v/>
      </c>
      <c r="R44" s="60">
        <f>IF(N44="","",INDEX($K$8:$K$47,MATCH(N44,$M$8:$M$47,0)))</f>
        <v/>
      </c>
    </row>
    <row r="45">
      <c r="A45" s="17" t="n">
        <v>38</v>
      </c>
      <c r="B45" s="53">
        <f>Gradebook!B47</f>
        <v/>
      </c>
      <c r="C45" s="57">
        <f>Gradebook!C47</f>
        <v/>
      </c>
      <c r="D45" s="40">
        <f>Gradebook!E47</f>
        <v/>
      </c>
      <c r="E45" s="40">
        <f>Gradebook!G47</f>
        <v/>
      </c>
      <c r="F45" s="58">
        <f>IF(B45="","",IF(AND(NOT(ISNUMBER(C45)),NOT(ISNUMBER(D45))),"",(IF(ISNUMBER(C45),Setup!$B$22*C45,0)+IF(ISNUMBER(D45),Setup!$B$23*D45,0))/(IF(ISNUMBER(C45),Setup!$B$22,0)+IF(ISNUMBER(D45),Setup!$B$23,0))))</f>
        <v/>
      </c>
      <c r="G45" s="34">
        <f>IF(ISNUMBER(F45),RANK(F45,$F$8:$F$47,0),"")</f>
        <v/>
      </c>
      <c r="H45" s="40">
        <f>IF(ISNUMBER(F45),IF(COUNT($F$8:$F$47)&lt;=1,1,SUMPRODUCT(--($F$8:$F$47&lt;F45))/(COUNT($F$8:$F$47)-1)),"")</f>
        <v/>
      </c>
      <c r="I45" s="59">
        <f>IF(ISNUMBER(F45),IFERROR((F45-AVERAGE($F$8:$F$47))/STDEVP($F$8:$F$47),0),"")</f>
        <v/>
      </c>
      <c r="J45" s="60">
        <f>IF(ISNUMBER(H45),VLOOKUP(H45,Setup!$G$12:$H$16,2,TRUE),"")</f>
        <v/>
      </c>
      <c r="K45" s="60">
        <f>IF(B45="","",IF(OR(AND(ISNUMBER(C45),C45&lt;Setup!$B$27),AND(ISNUMBER(D45),D45&lt;Setup!$B$28)),"At risk",IF(OR(AND(ISNUMBER(C45),C45&lt;Setup!$B$27+0.1),AND(ISNUMBER(D45),D45&lt;Setup!$B$28+0.1)),"Watch","On track")))</f>
        <v/>
      </c>
      <c r="M45">
        <f>IF(ISNUMBER(F45),G45+SUMPRODUCT(--($F$7:F44=F45)),"")</f>
        <v/>
      </c>
      <c r="N45" s="34">
        <f>IF(38&gt;COUNT($F$8:$F$47),"",38)</f>
        <v/>
      </c>
      <c r="O45" s="61">
        <f>IF(N45="","",INDEX($B$8:$B$47,MATCH(N45,$M$8:$M$47,0)))</f>
        <v/>
      </c>
      <c r="P45" s="57">
        <f>IF(N45="","",INDEX($F$8:$F$47,MATCH(N45,$M$8:$M$47,0)))</f>
        <v/>
      </c>
      <c r="Q45" s="40">
        <f>IF(N45="","",INDEX($H$8:$H$47,MATCH(N45,$M$8:$M$47,0)))</f>
        <v/>
      </c>
      <c r="R45" s="60">
        <f>IF(N45="","",INDEX($K$8:$K$47,MATCH(N45,$M$8:$M$47,0)))</f>
        <v/>
      </c>
    </row>
    <row r="46">
      <c r="A46" s="17" t="n">
        <v>39</v>
      </c>
      <c r="B46" s="53">
        <f>Gradebook!B48</f>
        <v/>
      </c>
      <c r="C46" s="57">
        <f>Gradebook!C48</f>
        <v/>
      </c>
      <c r="D46" s="40">
        <f>Gradebook!E48</f>
        <v/>
      </c>
      <c r="E46" s="40">
        <f>Gradebook!G48</f>
        <v/>
      </c>
      <c r="F46" s="58">
        <f>IF(B46="","",IF(AND(NOT(ISNUMBER(C46)),NOT(ISNUMBER(D46))),"",(IF(ISNUMBER(C46),Setup!$B$22*C46,0)+IF(ISNUMBER(D46),Setup!$B$23*D46,0))/(IF(ISNUMBER(C46),Setup!$B$22,0)+IF(ISNUMBER(D46),Setup!$B$23,0))))</f>
        <v/>
      </c>
      <c r="G46" s="34">
        <f>IF(ISNUMBER(F46),RANK(F46,$F$8:$F$47,0),"")</f>
        <v/>
      </c>
      <c r="H46" s="40">
        <f>IF(ISNUMBER(F46),IF(COUNT($F$8:$F$47)&lt;=1,1,SUMPRODUCT(--($F$8:$F$47&lt;F46))/(COUNT($F$8:$F$47)-1)),"")</f>
        <v/>
      </c>
      <c r="I46" s="59">
        <f>IF(ISNUMBER(F46),IFERROR((F46-AVERAGE($F$8:$F$47))/STDEVP($F$8:$F$47),0),"")</f>
        <v/>
      </c>
      <c r="J46" s="60">
        <f>IF(ISNUMBER(H46),VLOOKUP(H46,Setup!$G$12:$H$16,2,TRUE),"")</f>
        <v/>
      </c>
      <c r="K46" s="60">
        <f>IF(B46="","",IF(OR(AND(ISNUMBER(C46),C46&lt;Setup!$B$27),AND(ISNUMBER(D46),D46&lt;Setup!$B$28)),"At risk",IF(OR(AND(ISNUMBER(C46),C46&lt;Setup!$B$27+0.1),AND(ISNUMBER(D46),D46&lt;Setup!$B$28+0.1)),"Watch","On track")))</f>
        <v/>
      </c>
      <c r="M46">
        <f>IF(ISNUMBER(F46),G46+SUMPRODUCT(--($F$7:F45=F46)),"")</f>
        <v/>
      </c>
      <c r="N46" s="34">
        <f>IF(39&gt;COUNT($F$8:$F$47),"",39)</f>
        <v/>
      </c>
      <c r="O46" s="61">
        <f>IF(N46="","",INDEX($B$8:$B$47,MATCH(N46,$M$8:$M$47,0)))</f>
        <v/>
      </c>
      <c r="P46" s="57">
        <f>IF(N46="","",INDEX($F$8:$F$47,MATCH(N46,$M$8:$M$47,0)))</f>
        <v/>
      </c>
      <c r="Q46" s="40">
        <f>IF(N46="","",INDEX($H$8:$H$47,MATCH(N46,$M$8:$M$47,0)))</f>
        <v/>
      </c>
      <c r="R46" s="60">
        <f>IF(N46="","",INDEX($K$8:$K$47,MATCH(N46,$M$8:$M$47,0)))</f>
        <v/>
      </c>
    </row>
    <row r="47">
      <c r="A47" s="17" t="n">
        <v>40</v>
      </c>
      <c r="B47" s="53">
        <f>Gradebook!B49</f>
        <v/>
      </c>
      <c r="C47" s="57">
        <f>Gradebook!C49</f>
        <v/>
      </c>
      <c r="D47" s="40">
        <f>Gradebook!E49</f>
        <v/>
      </c>
      <c r="E47" s="40">
        <f>Gradebook!G49</f>
        <v/>
      </c>
      <c r="F47" s="58">
        <f>IF(B47="","",IF(AND(NOT(ISNUMBER(C47)),NOT(ISNUMBER(D47))),"",(IF(ISNUMBER(C47),Setup!$B$22*C47,0)+IF(ISNUMBER(D47),Setup!$B$23*D47,0))/(IF(ISNUMBER(C47),Setup!$B$22,0)+IF(ISNUMBER(D47),Setup!$B$23,0))))</f>
        <v/>
      </c>
      <c r="G47" s="34">
        <f>IF(ISNUMBER(F47),RANK(F47,$F$8:$F$47,0),"")</f>
        <v/>
      </c>
      <c r="H47" s="40">
        <f>IF(ISNUMBER(F47),IF(COUNT($F$8:$F$47)&lt;=1,1,SUMPRODUCT(--($F$8:$F$47&lt;F47))/(COUNT($F$8:$F$47)-1)),"")</f>
        <v/>
      </c>
      <c r="I47" s="59">
        <f>IF(ISNUMBER(F47),IFERROR((F47-AVERAGE($F$8:$F$47))/STDEVP($F$8:$F$47),0),"")</f>
        <v/>
      </c>
      <c r="J47" s="60">
        <f>IF(ISNUMBER(H47),VLOOKUP(H47,Setup!$G$12:$H$16,2,TRUE),"")</f>
        <v/>
      </c>
      <c r="K47" s="60">
        <f>IF(B47="","",IF(OR(AND(ISNUMBER(C47),C47&lt;Setup!$B$27),AND(ISNUMBER(D47),D47&lt;Setup!$B$28)),"At risk",IF(OR(AND(ISNUMBER(C47),C47&lt;Setup!$B$27+0.1),AND(ISNUMBER(D47),D47&lt;Setup!$B$28+0.1)),"Watch","On track")))</f>
        <v/>
      </c>
      <c r="M47">
        <f>IF(ISNUMBER(F47),G47+SUMPRODUCT(--($F$7:F46=F47)),"")</f>
        <v/>
      </c>
      <c r="N47" s="34">
        <f>IF(40&gt;COUNT($F$8:$F$47),"",40)</f>
        <v/>
      </c>
      <c r="O47" s="61">
        <f>IF(N47="","",INDEX($B$8:$B$47,MATCH(N47,$M$8:$M$47,0)))</f>
        <v/>
      </c>
      <c r="P47" s="57">
        <f>IF(N47="","",INDEX($F$8:$F$47,MATCH(N47,$M$8:$M$47,0)))</f>
        <v/>
      </c>
      <c r="Q47" s="40">
        <f>IF(N47="","",INDEX($H$8:$H$47,MATCH(N47,$M$8:$M$47,0)))</f>
        <v/>
      </c>
      <c r="R47" s="60">
        <f>IF(N47="","",INDEX($K$8:$K$47,MATCH(N47,$M$8:$M$47,0)))</f>
        <v/>
      </c>
    </row>
  </sheetData>
  <conditionalFormatting sqref="K8:K47">
    <cfRule type="expression" priority="1" dxfId="7">
      <formula>K8="At risk"</formula>
    </cfRule>
    <cfRule type="expression" priority="2" dxfId="8">
      <formula>K8="Watch"</formula>
    </cfRule>
  </conditionalFormatting>
  <conditionalFormatting sqref="F8:F47">
    <cfRule type="dataBar" priority="3">
      <dataBar>
        <cfvo type="num" val="0"/>
        <cfvo type="num" val="1"/>
        <color rgb="007FB0BF"/>
      </dataBar>
    </cfRule>
  </conditionalFormatting>
  <conditionalFormatting sqref="R8:R47">
    <cfRule type="expression" priority="4" dxfId="0">
      <formula>R8="At risk"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E6C75"/>
    <outlinePr summaryBelow="1" summaryRight="1"/>
    <pageSetUpPr fitToPage="1"/>
  </sheetPr>
  <dimension ref="A1:H7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2" customWidth="1" min="4" max="4"/>
    <col width="8" customWidth="1" min="5" max="5"/>
    <col width="8" customWidth="1" min="6" max="6"/>
    <col width="14" customWidth="1" min="7" max="7"/>
    <col width="12" customWidth="1" min="8" max="8"/>
  </cols>
  <sheetData>
    <row r="1" ht="30" customHeight="1">
      <c r="A1" s="1" t="inlineStr">
        <is>
          <t>Student Report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7">
        <f>Setup!B4&amp;"  |  "&amp;Setup!B5&amp;"  |  as of "&amp;TEXT(Setup!B8,"mmm d, yyyy")</f>
        <v/>
      </c>
      <c r="B2" s="2" t="n"/>
      <c r="C2" s="2" t="n"/>
      <c r="D2" s="2" t="n"/>
      <c r="E2" s="2" t="n"/>
      <c r="F2" s="2" t="n"/>
      <c r="G2" s="2" t="n"/>
      <c r="H2" s="2" t="n"/>
    </row>
    <row r="3">
      <c r="B3" s="28" t="inlineStr">
        <is>
          <t>Select a student:</t>
        </is>
      </c>
    </row>
    <row r="4">
      <c r="B4" s="62" t="inlineStr">
        <is>
          <t>Ava Johnson</t>
        </is>
      </c>
      <c r="C4" s="28" t="inlineStr">
        <is>
          <t>&lt; pick a student</t>
        </is>
      </c>
      <c r="H4" s="63">
        <f>IFERROR(MATCH(B4,Gradebook!$B$10:$B$49,0),"")</f>
        <v/>
      </c>
    </row>
    <row r="6">
      <c r="B6" s="21" t="inlineStr">
        <is>
          <t>Overall grade</t>
        </is>
      </c>
      <c r="C6" s="64">
        <f>IF($H$4="","",INDEX(Gradebook!$C$10:$C$49,$H$4))</f>
        <v/>
      </c>
      <c r="D6" s="65" t="n"/>
      <c r="E6" s="66" t="n"/>
      <c r="G6" s="16" t="inlineStr">
        <is>
          <t>Category</t>
        </is>
      </c>
      <c r="H6" s="16" t="inlineStr">
        <is>
          <t>Score</t>
        </is>
      </c>
    </row>
    <row r="7">
      <c r="B7" s="21" t="inlineStr">
        <is>
          <t>Letter grade</t>
        </is>
      </c>
      <c r="C7" s="67">
        <f>IF($H$4="","",INDEX(Gradebook!$D$10:$D$49,$H$4))</f>
        <v/>
      </c>
      <c r="D7" s="65" t="n"/>
      <c r="E7" s="66" t="n"/>
      <c r="G7" s="18">
        <f>Setup!A12</f>
        <v/>
      </c>
      <c r="H7" s="19">
        <f>IF($H$4="","",INDEX(Gradebook!$H$10:$H$49,$H$4))</f>
        <v/>
      </c>
    </row>
    <row r="8">
      <c r="B8" s="21" t="inlineStr">
        <is>
          <t>Work turned in</t>
        </is>
      </c>
      <c r="C8" s="68">
        <f>IF($H$4="","",INDEX(Gradebook!$E$10:$E$49,$H$4))</f>
        <v/>
      </c>
      <c r="D8" s="65" t="n"/>
      <c r="E8" s="66" t="n"/>
      <c r="G8" s="18">
        <f>Setup!A13</f>
        <v/>
      </c>
      <c r="H8" s="19">
        <f>IF($H$4="","",INDEX(Gradebook!$I$10:$I$49,$H$4))</f>
        <v/>
      </c>
    </row>
    <row r="9">
      <c r="B9" s="21" t="inlineStr">
        <is>
          <t>Missing items</t>
        </is>
      </c>
      <c r="C9" s="69">
        <f>IF($H$4="","",INDEX(Gradebook!$F$10:$F$49,$H$4))</f>
        <v/>
      </c>
      <c r="D9" s="65" t="n"/>
      <c r="E9" s="66" t="n"/>
      <c r="G9" s="18">
        <f>Setup!A14</f>
        <v/>
      </c>
      <c r="H9" s="19">
        <f>IF($H$4="","",INDEX(Gradebook!$J$10:$J$49,$H$4))</f>
        <v/>
      </c>
    </row>
    <row r="10">
      <c r="B10" s="21" t="inlineStr">
        <is>
          <t>Class standing</t>
        </is>
      </c>
      <c r="C10" s="67">
        <f>IF($H$4="","",IF(ISNUMBER(INDEX(Standings!$G$8:$G$47,$H$4)),"#"&amp;INDEX(Standings!$G$8:$G$47,$H$4)&amp;" of "&amp;COUNT(Standings!$F$8:$F$47)&amp;"  (percentile "&amp;TEXT(INDEX(Standings!$H$8:$H$47,$H$4),"0%")&amp;")",""))</f>
        <v/>
      </c>
      <c r="D10" s="65" t="n"/>
      <c r="E10" s="66" t="n"/>
      <c r="G10" s="18">
        <f>Setup!A15</f>
        <v/>
      </c>
      <c r="H10" s="19">
        <f>IF($H$4="","",INDEX(Gradebook!$K$10:$K$49,$H$4))</f>
        <v/>
      </c>
    </row>
    <row r="11">
      <c r="B11" s="21" t="inlineStr">
        <is>
          <t>Status</t>
        </is>
      </c>
      <c r="C11" s="67">
        <f>IF($H$4="","",INDEX(Standings!$K$8:$K$47,$H$4))</f>
        <v/>
      </c>
      <c r="D11" s="65" t="n"/>
      <c r="E11" s="66" t="n"/>
      <c r="G11" s="18">
        <f>Setup!A16</f>
        <v/>
      </c>
      <c r="H11" s="19">
        <f>IF($H$4="","",INDEX(Gradebook!$L$10:$L$49,$H$4))</f>
        <v/>
      </c>
    </row>
    <row r="14">
      <c r="A14" s="16" t="inlineStr">
        <is>
          <t>#</t>
        </is>
      </c>
      <c r="B14" s="16" t="inlineStr">
        <is>
          <t>Assignment</t>
        </is>
      </c>
      <c r="C14" s="16" t="inlineStr">
        <is>
          <t>Unit</t>
        </is>
      </c>
      <c r="D14" s="16" t="inlineStr">
        <is>
          <t>Due</t>
        </is>
      </c>
      <c r="E14" s="16" t="inlineStr">
        <is>
          <t>Points</t>
        </is>
      </c>
      <c r="F14" s="16" t="inlineStr">
        <is>
          <t>Score</t>
        </is>
      </c>
      <c r="G14" s="16" t="inlineStr">
        <is>
          <t>%</t>
        </is>
      </c>
      <c r="H14" s="16" t="inlineStr">
        <is>
          <t>Status</t>
        </is>
      </c>
    </row>
    <row r="15">
      <c r="A15" s="70">
        <f>IF(Assignments!B6="","",1)</f>
        <v/>
      </c>
      <c r="B15" s="71">
        <f>IF(A15="","",Assignments!B6)</f>
        <v/>
      </c>
      <c r="C15" s="71">
        <f>IF(A15="","",Assignments!C6)</f>
        <v/>
      </c>
      <c r="D15" s="72">
        <f>IF(A15="","",Assignments!G6)</f>
        <v/>
      </c>
      <c r="E15" s="70">
        <f>IF(A15="","",Assignments!E6)</f>
        <v/>
      </c>
      <c r="F15" s="70">
        <f>IF(OR(A15="",$H$4=""),"",IF(INDEX(Gradebook!M$10:M$49,$H$4)="","",INDEX(Gradebook!M$10:M$49,$H$4)))</f>
        <v/>
      </c>
      <c r="G15" s="73">
        <f>IF(OR(NOT(ISNUMBER(F15)),N(E15)=0),"",F15/E15)</f>
        <v/>
      </c>
      <c r="H15" s="70">
        <f>IF(OR(A15="",$H$4=""),"",IF(ISNUMBER(F15),"Turned in",IF(UPPER(F15)="EX","Excused",IF(OR(UPPER(F15)="M",Assignments!I6=1),"Missing","Not due yet"))))</f>
        <v/>
      </c>
    </row>
    <row r="16">
      <c r="A16" s="70">
        <f>IF(Assignments!B7="","",2)</f>
        <v/>
      </c>
      <c r="B16" s="71">
        <f>IF(A16="","",Assignments!B7)</f>
        <v/>
      </c>
      <c r="C16" s="71">
        <f>IF(A16="","",Assignments!C7)</f>
        <v/>
      </c>
      <c r="D16" s="72">
        <f>IF(A16="","",Assignments!G7)</f>
        <v/>
      </c>
      <c r="E16" s="70">
        <f>IF(A16="","",Assignments!E7)</f>
        <v/>
      </c>
      <c r="F16" s="70">
        <f>IF(OR(A16="",$H$4=""),"",IF(INDEX(Gradebook!N$10:N$49,$H$4)="","",INDEX(Gradebook!N$10:N$49,$H$4)))</f>
        <v/>
      </c>
      <c r="G16" s="73">
        <f>IF(OR(NOT(ISNUMBER(F16)),N(E16)=0),"",F16/E16)</f>
        <v/>
      </c>
      <c r="H16" s="70">
        <f>IF(OR(A16="",$H$4=""),"",IF(ISNUMBER(F16),"Turned in",IF(UPPER(F16)="EX","Excused",IF(OR(UPPER(F16)="M",Assignments!I7=1),"Missing","Not due yet"))))</f>
        <v/>
      </c>
    </row>
    <row r="17">
      <c r="A17" s="70">
        <f>IF(Assignments!B8="","",3)</f>
        <v/>
      </c>
      <c r="B17" s="71">
        <f>IF(A17="","",Assignments!B8)</f>
        <v/>
      </c>
      <c r="C17" s="71">
        <f>IF(A17="","",Assignments!C8)</f>
        <v/>
      </c>
      <c r="D17" s="72">
        <f>IF(A17="","",Assignments!G8)</f>
        <v/>
      </c>
      <c r="E17" s="70">
        <f>IF(A17="","",Assignments!E8)</f>
        <v/>
      </c>
      <c r="F17" s="70">
        <f>IF(OR(A17="",$H$4=""),"",IF(INDEX(Gradebook!O$10:O$49,$H$4)="","",INDEX(Gradebook!O$10:O$49,$H$4)))</f>
        <v/>
      </c>
      <c r="G17" s="73">
        <f>IF(OR(NOT(ISNUMBER(F17)),N(E17)=0),"",F17/E17)</f>
        <v/>
      </c>
      <c r="H17" s="70">
        <f>IF(OR(A17="",$H$4=""),"",IF(ISNUMBER(F17),"Turned in",IF(UPPER(F17)="EX","Excused",IF(OR(UPPER(F17)="M",Assignments!I8=1),"Missing","Not due yet"))))</f>
        <v/>
      </c>
    </row>
    <row r="18">
      <c r="A18" s="70">
        <f>IF(Assignments!B9="","",4)</f>
        <v/>
      </c>
      <c r="B18" s="71">
        <f>IF(A18="","",Assignments!B9)</f>
        <v/>
      </c>
      <c r="C18" s="71">
        <f>IF(A18="","",Assignments!C9)</f>
        <v/>
      </c>
      <c r="D18" s="72">
        <f>IF(A18="","",Assignments!G9)</f>
        <v/>
      </c>
      <c r="E18" s="70">
        <f>IF(A18="","",Assignments!E9)</f>
        <v/>
      </c>
      <c r="F18" s="70">
        <f>IF(OR(A18="",$H$4=""),"",IF(INDEX(Gradebook!P$10:P$49,$H$4)="","",INDEX(Gradebook!P$10:P$49,$H$4)))</f>
        <v/>
      </c>
      <c r="G18" s="73">
        <f>IF(OR(NOT(ISNUMBER(F18)),N(E18)=0),"",F18/E18)</f>
        <v/>
      </c>
      <c r="H18" s="70">
        <f>IF(OR(A18="",$H$4=""),"",IF(ISNUMBER(F18),"Turned in",IF(UPPER(F18)="EX","Excused",IF(OR(UPPER(F18)="M",Assignments!I9=1),"Missing","Not due yet"))))</f>
        <v/>
      </c>
    </row>
    <row r="19">
      <c r="A19" s="70">
        <f>IF(Assignments!B10="","",5)</f>
        <v/>
      </c>
      <c r="B19" s="71">
        <f>IF(A19="","",Assignments!B10)</f>
        <v/>
      </c>
      <c r="C19" s="71">
        <f>IF(A19="","",Assignments!C10)</f>
        <v/>
      </c>
      <c r="D19" s="72">
        <f>IF(A19="","",Assignments!G10)</f>
        <v/>
      </c>
      <c r="E19" s="70">
        <f>IF(A19="","",Assignments!E10)</f>
        <v/>
      </c>
      <c r="F19" s="70">
        <f>IF(OR(A19="",$H$4=""),"",IF(INDEX(Gradebook!Q$10:Q$49,$H$4)="","",INDEX(Gradebook!Q$10:Q$49,$H$4)))</f>
        <v/>
      </c>
      <c r="G19" s="73">
        <f>IF(OR(NOT(ISNUMBER(F19)),N(E19)=0),"",F19/E19)</f>
        <v/>
      </c>
      <c r="H19" s="70">
        <f>IF(OR(A19="",$H$4=""),"",IF(ISNUMBER(F19),"Turned in",IF(UPPER(F19)="EX","Excused",IF(OR(UPPER(F19)="M",Assignments!I10=1),"Missing","Not due yet"))))</f>
        <v/>
      </c>
    </row>
    <row r="20">
      <c r="A20" s="70">
        <f>IF(Assignments!B11="","",6)</f>
        <v/>
      </c>
      <c r="B20" s="71">
        <f>IF(A20="","",Assignments!B11)</f>
        <v/>
      </c>
      <c r="C20" s="71">
        <f>IF(A20="","",Assignments!C11)</f>
        <v/>
      </c>
      <c r="D20" s="72">
        <f>IF(A20="","",Assignments!G11)</f>
        <v/>
      </c>
      <c r="E20" s="70">
        <f>IF(A20="","",Assignments!E11)</f>
        <v/>
      </c>
      <c r="F20" s="70">
        <f>IF(OR(A20="",$H$4=""),"",IF(INDEX(Gradebook!R$10:R$49,$H$4)="","",INDEX(Gradebook!R$10:R$49,$H$4)))</f>
        <v/>
      </c>
      <c r="G20" s="73">
        <f>IF(OR(NOT(ISNUMBER(F20)),N(E20)=0),"",F20/E20)</f>
        <v/>
      </c>
      <c r="H20" s="70">
        <f>IF(OR(A20="",$H$4=""),"",IF(ISNUMBER(F20),"Turned in",IF(UPPER(F20)="EX","Excused",IF(OR(UPPER(F20)="M",Assignments!I11=1),"Missing","Not due yet"))))</f>
        <v/>
      </c>
    </row>
    <row r="21">
      <c r="A21" s="70">
        <f>IF(Assignments!B12="","",7)</f>
        <v/>
      </c>
      <c r="B21" s="71">
        <f>IF(A21="","",Assignments!B12)</f>
        <v/>
      </c>
      <c r="C21" s="71">
        <f>IF(A21="","",Assignments!C12)</f>
        <v/>
      </c>
      <c r="D21" s="72">
        <f>IF(A21="","",Assignments!G12)</f>
        <v/>
      </c>
      <c r="E21" s="70">
        <f>IF(A21="","",Assignments!E12)</f>
        <v/>
      </c>
      <c r="F21" s="70">
        <f>IF(OR(A21="",$H$4=""),"",IF(INDEX(Gradebook!S$10:S$49,$H$4)="","",INDEX(Gradebook!S$10:S$49,$H$4)))</f>
        <v/>
      </c>
      <c r="G21" s="73">
        <f>IF(OR(NOT(ISNUMBER(F21)),N(E21)=0),"",F21/E21)</f>
        <v/>
      </c>
      <c r="H21" s="70">
        <f>IF(OR(A21="",$H$4=""),"",IF(ISNUMBER(F21),"Turned in",IF(UPPER(F21)="EX","Excused",IF(OR(UPPER(F21)="M",Assignments!I12=1),"Missing","Not due yet"))))</f>
        <v/>
      </c>
    </row>
    <row r="22">
      <c r="A22" s="70">
        <f>IF(Assignments!B13="","",8)</f>
        <v/>
      </c>
      <c r="B22" s="71">
        <f>IF(A22="","",Assignments!B13)</f>
        <v/>
      </c>
      <c r="C22" s="71">
        <f>IF(A22="","",Assignments!C13)</f>
        <v/>
      </c>
      <c r="D22" s="72">
        <f>IF(A22="","",Assignments!G13)</f>
        <v/>
      </c>
      <c r="E22" s="70">
        <f>IF(A22="","",Assignments!E13)</f>
        <v/>
      </c>
      <c r="F22" s="70">
        <f>IF(OR(A22="",$H$4=""),"",IF(INDEX(Gradebook!T$10:T$49,$H$4)="","",INDEX(Gradebook!T$10:T$49,$H$4)))</f>
        <v/>
      </c>
      <c r="G22" s="73">
        <f>IF(OR(NOT(ISNUMBER(F22)),N(E22)=0),"",F22/E22)</f>
        <v/>
      </c>
      <c r="H22" s="70">
        <f>IF(OR(A22="",$H$4=""),"",IF(ISNUMBER(F22),"Turned in",IF(UPPER(F22)="EX","Excused",IF(OR(UPPER(F22)="M",Assignments!I13=1),"Missing","Not due yet"))))</f>
        <v/>
      </c>
    </row>
    <row r="23">
      <c r="A23" s="70">
        <f>IF(Assignments!B14="","",9)</f>
        <v/>
      </c>
      <c r="B23" s="71">
        <f>IF(A23="","",Assignments!B14)</f>
        <v/>
      </c>
      <c r="C23" s="71">
        <f>IF(A23="","",Assignments!C14)</f>
        <v/>
      </c>
      <c r="D23" s="72">
        <f>IF(A23="","",Assignments!G14)</f>
        <v/>
      </c>
      <c r="E23" s="70">
        <f>IF(A23="","",Assignments!E14)</f>
        <v/>
      </c>
      <c r="F23" s="70">
        <f>IF(OR(A23="",$H$4=""),"",IF(INDEX(Gradebook!U$10:U$49,$H$4)="","",INDEX(Gradebook!U$10:U$49,$H$4)))</f>
        <v/>
      </c>
      <c r="G23" s="73">
        <f>IF(OR(NOT(ISNUMBER(F23)),N(E23)=0),"",F23/E23)</f>
        <v/>
      </c>
      <c r="H23" s="70">
        <f>IF(OR(A23="",$H$4=""),"",IF(ISNUMBER(F23),"Turned in",IF(UPPER(F23)="EX","Excused",IF(OR(UPPER(F23)="M",Assignments!I14=1),"Missing","Not due yet"))))</f>
        <v/>
      </c>
    </row>
    <row r="24">
      <c r="A24" s="70">
        <f>IF(Assignments!B15="","",10)</f>
        <v/>
      </c>
      <c r="B24" s="71">
        <f>IF(A24="","",Assignments!B15)</f>
        <v/>
      </c>
      <c r="C24" s="71">
        <f>IF(A24="","",Assignments!C15)</f>
        <v/>
      </c>
      <c r="D24" s="72">
        <f>IF(A24="","",Assignments!G15)</f>
        <v/>
      </c>
      <c r="E24" s="70">
        <f>IF(A24="","",Assignments!E15)</f>
        <v/>
      </c>
      <c r="F24" s="70">
        <f>IF(OR(A24="",$H$4=""),"",IF(INDEX(Gradebook!V$10:V$49,$H$4)="","",INDEX(Gradebook!V$10:V$49,$H$4)))</f>
        <v/>
      </c>
      <c r="G24" s="73">
        <f>IF(OR(NOT(ISNUMBER(F24)),N(E24)=0),"",F24/E24)</f>
        <v/>
      </c>
      <c r="H24" s="70">
        <f>IF(OR(A24="",$H$4=""),"",IF(ISNUMBER(F24),"Turned in",IF(UPPER(F24)="EX","Excused",IF(OR(UPPER(F24)="M",Assignments!I15=1),"Missing","Not due yet"))))</f>
        <v/>
      </c>
    </row>
    <row r="25">
      <c r="A25" s="70">
        <f>IF(Assignments!B16="","",11)</f>
        <v/>
      </c>
      <c r="B25" s="71">
        <f>IF(A25="","",Assignments!B16)</f>
        <v/>
      </c>
      <c r="C25" s="71">
        <f>IF(A25="","",Assignments!C16)</f>
        <v/>
      </c>
      <c r="D25" s="72">
        <f>IF(A25="","",Assignments!G16)</f>
        <v/>
      </c>
      <c r="E25" s="70">
        <f>IF(A25="","",Assignments!E16)</f>
        <v/>
      </c>
      <c r="F25" s="70">
        <f>IF(OR(A25="",$H$4=""),"",IF(INDEX(Gradebook!W$10:W$49,$H$4)="","",INDEX(Gradebook!W$10:W$49,$H$4)))</f>
        <v/>
      </c>
      <c r="G25" s="73">
        <f>IF(OR(NOT(ISNUMBER(F25)),N(E25)=0),"",F25/E25)</f>
        <v/>
      </c>
      <c r="H25" s="70">
        <f>IF(OR(A25="",$H$4=""),"",IF(ISNUMBER(F25),"Turned in",IF(UPPER(F25)="EX","Excused",IF(OR(UPPER(F25)="M",Assignments!I16=1),"Missing","Not due yet"))))</f>
        <v/>
      </c>
    </row>
    <row r="26">
      <c r="A26" s="70">
        <f>IF(Assignments!B17="","",12)</f>
        <v/>
      </c>
      <c r="B26" s="71">
        <f>IF(A26="","",Assignments!B17)</f>
        <v/>
      </c>
      <c r="C26" s="71">
        <f>IF(A26="","",Assignments!C17)</f>
        <v/>
      </c>
      <c r="D26" s="72">
        <f>IF(A26="","",Assignments!G17)</f>
        <v/>
      </c>
      <c r="E26" s="70">
        <f>IF(A26="","",Assignments!E17)</f>
        <v/>
      </c>
      <c r="F26" s="70">
        <f>IF(OR(A26="",$H$4=""),"",IF(INDEX(Gradebook!X$10:X$49,$H$4)="","",INDEX(Gradebook!X$10:X$49,$H$4)))</f>
        <v/>
      </c>
      <c r="G26" s="73">
        <f>IF(OR(NOT(ISNUMBER(F26)),N(E26)=0),"",F26/E26)</f>
        <v/>
      </c>
      <c r="H26" s="70">
        <f>IF(OR(A26="",$H$4=""),"",IF(ISNUMBER(F26),"Turned in",IF(UPPER(F26)="EX","Excused",IF(OR(UPPER(F26)="M",Assignments!I17=1),"Missing","Not due yet"))))</f>
        <v/>
      </c>
    </row>
    <row r="27">
      <c r="A27" s="70">
        <f>IF(Assignments!B18="","",13)</f>
        <v/>
      </c>
      <c r="B27" s="71">
        <f>IF(A27="","",Assignments!B18)</f>
        <v/>
      </c>
      <c r="C27" s="71">
        <f>IF(A27="","",Assignments!C18)</f>
        <v/>
      </c>
      <c r="D27" s="72">
        <f>IF(A27="","",Assignments!G18)</f>
        <v/>
      </c>
      <c r="E27" s="70">
        <f>IF(A27="","",Assignments!E18)</f>
        <v/>
      </c>
      <c r="F27" s="70">
        <f>IF(OR(A27="",$H$4=""),"",IF(INDEX(Gradebook!Y$10:Y$49,$H$4)="","",INDEX(Gradebook!Y$10:Y$49,$H$4)))</f>
        <v/>
      </c>
      <c r="G27" s="73">
        <f>IF(OR(NOT(ISNUMBER(F27)),N(E27)=0),"",F27/E27)</f>
        <v/>
      </c>
      <c r="H27" s="70">
        <f>IF(OR(A27="",$H$4=""),"",IF(ISNUMBER(F27),"Turned in",IF(UPPER(F27)="EX","Excused",IF(OR(UPPER(F27)="M",Assignments!I18=1),"Missing","Not due yet"))))</f>
        <v/>
      </c>
    </row>
    <row r="28">
      <c r="A28" s="70">
        <f>IF(Assignments!B19="","",14)</f>
        <v/>
      </c>
      <c r="B28" s="71">
        <f>IF(A28="","",Assignments!B19)</f>
        <v/>
      </c>
      <c r="C28" s="71">
        <f>IF(A28="","",Assignments!C19)</f>
        <v/>
      </c>
      <c r="D28" s="72">
        <f>IF(A28="","",Assignments!G19)</f>
        <v/>
      </c>
      <c r="E28" s="70">
        <f>IF(A28="","",Assignments!E19)</f>
        <v/>
      </c>
      <c r="F28" s="70">
        <f>IF(OR(A28="",$H$4=""),"",IF(INDEX(Gradebook!Z$10:Z$49,$H$4)="","",INDEX(Gradebook!Z$10:Z$49,$H$4)))</f>
        <v/>
      </c>
      <c r="G28" s="73">
        <f>IF(OR(NOT(ISNUMBER(F28)),N(E28)=0),"",F28/E28)</f>
        <v/>
      </c>
      <c r="H28" s="70">
        <f>IF(OR(A28="",$H$4=""),"",IF(ISNUMBER(F28),"Turned in",IF(UPPER(F28)="EX","Excused",IF(OR(UPPER(F28)="M",Assignments!I19=1),"Missing","Not due yet"))))</f>
        <v/>
      </c>
    </row>
    <row r="29">
      <c r="A29" s="70">
        <f>IF(Assignments!B20="","",15)</f>
        <v/>
      </c>
      <c r="B29" s="71">
        <f>IF(A29="","",Assignments!B20)</f>
        <v/>
      </c>
      <c r="C29" s="71">
        <f>IF(A29="","",Assignments!C20)</f>
        <v/>
      </c>
      <c r="D29" s="72">
        <f>IF(A29="","",Assignments!G20)</f>
        <v/>
      </c>
      <c r="E29" s="70">
        <f>IF(A29="","",Assignments!E20)</f>
        <v/>
      </c>
      <c r="F29" s="70">
        <f>IF(OR(A29="",$H$4=""),"",IF(INDEX(Gradebook!AA$10:AA$49,$H$4)="","",INDEX(Gradebook!AA$10:AA$49,$H$4)))</f>
        <v/>
      </c>
      <c r="G29" s="73">
        <f>IF(OR(NOT(ISNUMBER(F29)),N(E29)=0),"",F29/E29)</f>
        <v/>
      </c>
      <c r="H29" s="70">
        <f>IF(OR(A29="",$H$4=""),"",IF(ISNUMBER(F29),"Turned in",IF(UPPER(F29)="EX","Excused",IF(OR(UPPER(F29)="M",Assignments!I20=1),"Missing","Not due yet"))))</f>
        <v/>
      </c>
    </row>
    <row r="30">
      <c r="A30" s="70">
        <f>IF(Assignments!B21="","",16)</f>
        <v/>
      </c>
      <c r="B30" s="71">
        <f>IF(A30="","",Assignments!B21)</f>
        <v/>
      </c>
      <c r="C30" s="71">
        <f>IF(A30="","",Assignments!C21)</f>
        <v/>
      </c>
      <c r="D30" s="72">
        <f>IF(A30="","",Assignments!G21)</f>
        <v/>
      </c>
      <c r="E30" s="70">
        <f>IF(A30="","",Assignments!E21)</f>
        <v/>
      </c>
      <c r="F30" s="70">
        <f>IF(OR(A30="",$H$4=""),"",IF(INDEX(Gradebook!AB$10:AB$49,$H$4)="","",INDEX(Gradebook!AB$10:AB$49,$H$4)))</f>
        <v/>
      </c>
      <c r="G30" s="73">
        <f>IF(OR(NOT(ISNUMBER(F30)),N(E30)=0),"",F30/E30)</f>
        <v/>
      </c>
      <c r="H30" s="70">
        <f>IF(OR(A30="",$H$4=""),"",IF(ISNUMBER(F30),"Turned in",IF(UPPER(F30)="EX","Excused",IF(OR(UPPER(F30)="M",Assignments!I21=1),"Missing","Not due yet"))))</f>
        <v/>
      </c>
    </row>
    <row r="31">
      <c r="A31" s="70">
        <f>IF(Assignments!B22="","",17)</f>
        <v/>
      </c>
      <c r="B31" s="71">
        <f>IF(A31="","",Assignments!B22)</f>
        <v/>
      </c>
      <c r="C31" s="71">
        <f>IF(A31="","",Assignments!C22)</f>
        <v/>
      </c>
      <c r="D31" s="72">
        <f>IF(A31="","",Assignments!G22)</f>
        <v/>
      </c>
      <c r="E31" s="70">
        <f>IF(A31="","",Assignments!E22)</f>
        <v/>
      </c>
      <c r="F31" s="70">
        <f>IF(OR(A31="",$H$4=""),"",IF(INDEX(Gradebook!AC$10:AC$49,$H$4)="","",INDEX(Gradebook!AC$10:AC$49,$H$4)))</f>
        <v/>
      </c>
      <c r="G31" s="73">
        <f>IF(OR(NOT(ISNUMBER(F31)),N(E31)=0),"",F31/E31)</f>
        <v/>
      </c>
      <c r="H31" s="70">
        <f>IF(OR(A31="",$H$4=""),"",IF(ISNUMBER(F31),"Turned in",IF(UPPER(F31)="EX","Excused",IF(OR(UPPER(F31)="M",Assignments!I22=1),"Missing","Not due yet"))))</f>
        <v/>
      </c>
    </row>
    <row r="32">
      <c r="A32" s="70">
        <f>IF(Assignments!B23="","",18)</f>
        <v/>
      </c>
      <c r="B32" s="71">
        <f>IF(A32="","",Assignments!B23)</f>
        <v/>
      </c>
      <c r="C32" s="71">
        <f>IF(A32="","",Assignments!C23)</f>
        <v/>
      </c>
      <c r="D32" s="72">
        <f>IF(A32="","",Assignments!G23)</f>
        <v/>
      </c>
      <c r="E32" s="70">
        <f>IF(A32="","",Assignments!E23)</f>
        <v/>
      </c>
      <c r="F32" s="70">
        <f>IF(OR(A32="",$H$4=""),"",IF(INDEX(Gradebook!AD$10:AD$49,$H$4)="","",INDEX(Gradebook!AD$10:AD$49,$H$4)))</f>
        <v/>
      </c>
      <c r="G32" s="73">
        <f>IF(OR(NOT(ISNUMBER(F32)),N(E32)=0),"",F32/E32)</f>
        <v/>
      </c>
      <c r="H32" s="70">
        <f>IF(OR(A32="",$H$4=""),"",IF(ISNUMBER(F32),"Turned in",IF(UPPER(F32)="EX","Excused",IF(OR(UPPER(F32)="M",Assignments!I23=1),"Missing","Not due yet"))))</f>
        <v/>
      </c>
    </row>
    <row r="33">
      <c r="A33" s="70">
        <f>IF(Assignments!B24="","",19)</f>
        <v/>
      </c>
      <c r="B33" s="71">
        <f>IF(A33="","",Assignments!B24)</f>
        <v/>
      </c>
      <c r="C33" s="71">
        <f>IF(A33="","",Assignments!C24)</f>
        <v/>
      </c>
      <c r="D33" s="72">
        <f>IF(A33="","",Assignments!G24)</f>
        <v/>
      </c>
      <c r="E33" s="70">
        <f>IF(A33="","",Assignments!E24)</f>
        <v/>
      </c>
      <c r="F33" s="70">
        <f>IF(OR(A33="",$H$4=""),"",IF(INDEX(Gradebook!AE$10:AE$49,$H$4)="","",INDEX(Gradebook!AE$10:AE$49,$H$4)))</f>
        <v/>
      </c>
      <c r="G33" s="73">
        <f>IF(OR(NOT(ISNUMBER(F33)),N(E33)=0),"",F33/E33)</f>
        <v/>
      </c>
      <c r="H33" s="70">
        <f>IF(OR(A33="",$H$4=""),"",IF(ISNUMBER(F33),"Turned in",IF(UPPER(F33)="EX","Excused",IF(OR(UPPER(F33)="M",Assignments!I24=1),"Missing","Not due yet"))))</f>
        <v/>
      </c>
    </row>
    <row r="34">
      <c r="A34" s="70">
        <f>IF(Assignments!B25="","",20)</f>
        <v/>
      </c>
      <c r="B34" s="71">
        <f>IF(A34="","",Assignments!B25)</f>
        <v/>
      </c>
      <c r="C34" s="71">
        <f>IF(A34="","",Assignments!C25)</f>
        <v/>
      </c>
      <c r="D34" s="72">
        <f>IF(A34="","",Assignments!G25)</f>
        <v/>
      </c>
      <c r="E34" s="70">
        <f>IF(A34="","",Assignments!E25)</f>
        <v/>
      </c>
      <c r="F34" s="70">
        <f>IF(OR(A34="",$H$4=""),"",IF(INDEX(Gradebook!AF$10:AF$49,$H$4)="","",INDEX(Gradebook!AF$10:AF$49,$H$4)))</f>
        <v/>
      </c>
      <c r="G34" s="73">
        <f>IF(OR(NOT(ISNUMBER(F34)),N(E34)=0),"",F34/E34)</f>
        <v/>
      </c>
      <c r="H34" s="70">
        <f>IF(OR(A34="",$H$4=""),"",IF(ISNUMBER(F34),"Turned in",IF(UPPER(F34)="EX","Excused",IF(OR(UPPER(F34)="M",Assignments!I25=1),"Missing","Not due yet"))))</f>
        <v/>
      </c>
    </row>
    <row r="35">
      <c r="A35" s="70">
        <f>IF(Assignments!B26="","",21)</f>
        <v/>
      </c>
      <c r="B35" s="71">
        <f>IF(A35="","",Assignments!B26)</f>
        <v/>
      </c>
      <c r="C35" s="71">
        <f>IF(A35="","",Assignments!C26)</f>
        <v/>
      </c>
      <c r="D35" s="72">
        <f>IF(A35="","",Assignments!G26)</f>
        <v/>
      </c>
      <c r="E35" s="70">
        <f>IF(A35="","",Assignments!E26)</f>
        <v/>
      </c>
      <c r="F35" s="70">
        <f>IF(OR(A35="",$H$4=""),"",IF(INDEX(Gradebook!AG$10:AG$49,$H$4)="","",INDEX(Gradebook!AG$10:AG$49,$H$4)))</f>
        <v/>
      </c>
      <c r="G35" s="73">
        <f>IF(OR(NOT(ISNUMBER(F35)),N(E35)=0),"",F35/E35)</f>
        <v/>
      </c>
      <c r="H35" s="70">
        <f>IF(OR(A35="",$H$4=""),"",IF(ISNUMBER(F35),"Turned in",IF(UPPER(F35)="EX","Excused",IF(OR(UPPER(F35)="M",Assignments!I26=1),"Missing","Not due yet"))))</f>
        <v/>
      </c>
    </row>
    <row r="36">
      <c r="A36" s="70">
        <f>IF(Assignments!B27="","",22)</f>
        <v/>
      </c>
      <c r="B36" s="71">
        <f>IF(A36="","",Assignments!B27)</f>
        <v/>
      </c>
      <c r="C36" s="71">
        <f>IF(A36="","",Assignments!C27)</f>
        <v/>
      </c>
      <c r="D36" s="72">
        <f>IF(A36="","",Assignments!G27)</f>
        <v/>
      </c>
      <c r="E36" s="70">
        <f>IF(A36="","",Assignments!E27)</f>
        <v/>
      </c>
      <c r="F36" s="70">
        <f>IF(OR(A36="",$H$4=""),"",IF(INDEX(Gradebook!AH$10:AH$49,$H$4)="","",INDEX(Gradebook!AH$10:AH$49,$H$4)))</f>
        <v/>
      </c>
      <c r="G36" s="73">
        <f>IF(OR(NOT(ISNUMBER(F36)),N(E36)=0),"",F36/E36)</f>
        <v/>
      </c>
      <c r="H36" s="70">
        <f>IF(OR(A36="",$H$4=""),"",IF(ISNUMBER(F36),"Turned in",IF(UPPER(F36)="EX","Excused",IF(OR(UPPER(F36)="M",Assignments!I27=1),"Missing","Not due yet"))))</f>
        <v/>
      </c>
    </row>
    <row r="37">
      <c r="A37" s="70">
        <f>IF(Assignments!B28="","",23)</f>
        <v/>
      </c>
      <c r="B37" s="71">
        <f>IF(A37="","",Assignments!B28)</f>
        <v/>
      </c>
      <c r="C37" s="71">
        <f>IF(A37="","",Assignments!C28)</f>
        <v/>
      </c>
      <c r="D37" s="72">
        <f>IF(A37="","",Assignments!G28)</f>
        <v/>
      </c>
      <c r="E37" s="70">
        <f>IF(A37="","",Assignments!E28)</f>
        <v/>
      </c>
      <c r="F37" s="70">
        <f>IF(OR(A37="",$H$4=""),"",IF(INDEX(Gradebook!AI$10:AI$49,$H$4)="","",INDEX(Gradebook!AI$10:AI$49,$H$4)))</f>
        <v/>
      </c>
      <c r="G37" s="73">
        <f>IF(OR(NOT(ISNUMBER(F37)),N(E37)=0),"",F37/E37)</f>
        <v/>
      </c>
      <c r="H37" s="70">
        <f>IF(OR(A37="",$H$4=""),"",IF(ISNUMBER(F37),"Turned in",IF(UPPER(F37)="EX","Excused",IF(OR(UPPER(F37)="M",Assignments!I28=1),"Missing","Not due yet"))))</f>
        <v/>
      </c>
    </row>
    <row r="38">
      <c r="A38" s="70">
        <f>IF(Assignments!B29="","",24)</f>
        <v/>
      </c>
      <c r="B38" s="71">
        <f>IF(A38="","",Assignments!B29)</f>
        <v/>
      </c>
      <c r="C38" s="71">
        <f>IF(A38="","",Assignments!C29)</f>
        <v/>
      </c>
      <c r="D38" s="72">
        <f>IF(A38="","",Assignments!G29)</f>
        <v/>
      </c>
      <c r="E38" s="70">
        <f>IF(A38="","",Assignments!E29)</f>
        <v/>
      </c>
      <c r="F38" s="70">
        <f>IF(OR(A38="",$H$4=""),"",IF(INDEX(Gradebook!AJ$10:AJ$49,$H$4)="","",INDEX(Gradebook!AJ$10:AJ$49,$H$4)))</f>
        <v/>
      </c>
      <c r="G38" s="73">
        <f>IF(OR(NOT(ISNUMBER(F38)),N(E38)=0),"",F38/E38)</f>
        <v/>
      </c>
      <c r="H38" s="70">
        <f>IF(OR(A38="",$H$4=""),"",IF(ISNUMBER(F38),"Turned in",IF(UPPER(F38)="EX","Excused",IF(OR(UPPER(F38)="M",Assignments!I29=1),"Missing","Not due yet"))))</f>
        <v/>
      </c>
    </row>
    <row r="39">
      <c r="A39" s="70">
        <f>IF(Assignments!B30="","",25)</f>
        <v/>
      </c>
      <c r="B39" s="71">
        <f>IF(A39="","",Assignments!B30)</f>
        <v/>
      </c>
      <c r="C39" s="71">
        <f>IF(A39="","",Assignments!C30)</f>
        <v/>
      </c>
      <c r="D39" s="72">
        <f>IF(A39="","",Assignments!G30)</f>
        <v/>
      </c>
      <c r="E39" s="70">
        <f>IF(A39="","",Assignments!E30)</f>
        <v/>
      </c>
      <c r="F39" s="70">
        <f>IF(OR(A39="",$H$4=""),"",IF(INDEX(Gradebook!AK$10:AK$49,$H$4)="","",INDEX(Gradebook!AK$10:AK$49,$H$4)))</f>
        <v/>
      </c>
      <c r="G39" s="73">
        <f>IF(OR(NOT(ISNUMBER(F39)),N(E39)=0),"",F39/E39)</f>
        <v/>
      </c>
      <c r="H39" s="70">
        <f>IF(OR(A39="",$H$4=""),"",IF(ISNUMBER(F39),"Turned in",IF(UPPER(F39)="EX","Excused",IF(OR(UPPER(F39)="M",Assignments!I30=1),"Missing","Not due yet"))))</f>
        <v/>
      </c>
    </row>
    <row r="40">
      <c r="A40" s="70">
        <f>IF(Assignments!B31="","",26)</f>
        <v/>
      </c>
      <c r="B40" s="71">
        <f>IF(A40="","",Assignments!B31)</f>
        <v/>
      </c>
      <c r="C40" s="71">
        <f>IF(A40="","",Assignments!C31)</f>
        <v/>
      </c>
      <c r="D40" s="72">
        <f>IF(A40="","",Assignments!G31)</f>
        <v/>
      </c>
      <c r="E40" s="70">
        <f>IF(A40="","",Assignments!E31)</f>
        <v/>
      </c>
      <c r="F40" s="70">
        <f>IF(OR(A40="",$H$4=""),"",IF(INDEX(Gradebook!AL$10:AL$49,$H$4)="","",INDEX(Gradebook!AL$10:AL$49,$H$4)))</f>
        <v/>
      </c>
      <c r="G40" s="73">
        <f>IF(OR(NOT(ISNUMBER(F40)),N(E40)=0),"",F40/E40)</f>
        <v/>
      </c>
      <c r="H40" s="70">
        <f>IF(OR(A40="",$H$4=""),"",IF(ISNUMBER(F40),"Turned in",IF(UPPER(F40)="EX","Excused",IF(OR(UPPER(F40)="M",Assignments!I31=1),"Missing","Not due yet"))))</f>
        <v/>
      </c>
    </row>
    <row r="41">
      <c r="A41" s="70">
        <f>IF(Assignments!B32="","",27)</f>
        <v/>
      </c>
      <c r="B41" s="71">
        <f>IF(A41="","",Assignments!B32)</f>
        <v/>
      </c>
      <c r="C41" s="71">
        <f>IF(A41="","",Assignments!C32)</f>
        <v/>
      </c>
      <c r="D41" s="72">
        <f>IF(A41="","",Assignments!G32)</f>
        <v/>
      </c>
      <c r="E41" s="70">
        <f>IF(A41="","",Assignments!E32)</f>
        <v/>
      </c>
      <c r="F41" s="70">
        <f>IF(OR(A41="",$H$4=""),"",IF(INDEX(Gradebook!AM$10:AM$49,$H$4)="","",INDEX(Gradebook!AM$10:AM$49,$H$4)))</f>
        <v/>
      </c>
      <c r="G41" s="73">
        <f>IF(OR(NOT(ISNUMBER(F41)),N(E41)=0),"",F41/E41)</f>
        <v/>
      </c>
      <c r="H41" s="70">
        <f>IF(OR(A41="",$H$4=""),"",IF(ISNUMBER(F41),"Turned in",IF(UPPER(F41)="EX","Excused",IF(OR(UPPER(F41)="M",Assignments!I32=1),"Missing","Not due yet"))))</f>
        <v/>
      </c>
    </row>
    <row r="42">
      <c r="A42" s="70">
        <f>IF(Assignments!B33="","",28)</f>
        <v/>
      </c>
      <c r="B42" s="71">
        <f>IF(A42="","",Assignments!B33)</f>
        <v/>
      </c>
      <c r="C42" s="71">
        <f>IF(A42="","",Assignments!C33)</f>
        <v/>
      </c>
      <c r="D42" s="72">
        <f>IF(A42="","",Assignments!G33)</f>
        <v/>
      </c>
      <c r="E42" s="70">
        <f>IF(A42="","",Assignments!E33)</f>
        <v/>
      </c>
      <c r="F42" s="70">
        <f>IF(OR(A42="",$H$4=""),"",IF(INDEX(Gradebook!AN$10:AN$49,$H$4)="","",INDEX(Gradebook!AN$10:AN$49,$H$4)))</f>
        <v/>
      </c>
      <c r="G42" s="73">
        <f>IF(OR(NOT(ISNUMBER(F42)),N(E42)=0),"",F42/E42)</f>
        <v/>
      </c>
      <c r="H42" s="70">
        <f>IF(OR(A42="",$H$4=""),"",IF(ISNUMBER(F42),"Turned in",IF(UPPER(F42)="EX","Excused",IF(OR(UPPER(F42)="M",Assignments!I33=1),"Missing","Not due yet"))))</f>
        <v/>
      </c>
    </row>
    <row r="43">
      <c r="A43" s="70">
        <f>IF(Assignments!B34="","",29)</f>
        <v/>
      </c>
      <c r="B43" s="71">
        <f>IF(A43="","",Assignments!B34)</f>
        <v/>
      </c>
      <c r="C43" s="71">
        <f>IF(A43="","",Assignments!C34)</f>
        <v/>
      </c>
      <c r="D43" s="72">
        <f>IF(A43="","",Assignments!G34)</f>
        <v/>
      </c>
      <c r="E43" s="70">
        <f>IF(A43="","",Assignments!E34)</f>
        <v/>
      </c>
      <c r="F43" s="70">
        <f>IF(OR(A43="",$H$4=""),"",IF(INDEX(Gradebook!AO$10:AO$49,$H$4)="","",INDEX(Gradebook!AO$10:AO$49,$H$4)))</f>
        <v/>
      </c>
      <c r="G43" s="73">
        <f>IF(OR(NOT(ISNUMBER(F43)),N(E43)=0),"",F43/E43)</f>
        <v/>
      </c>
      <c r="H43" s="70">
        <f>IF(OR(A43="",$H$4=""),"",IF(ISNUMBER(F43),"Turned in",IF(UPPER(F43)="EX","Excused",IF(OR(UPPER(F43)="M",Assignments!I34=1),"Missing","Not due yet"))))</f>
        <v/>
      </c>
    </row>
    <row r="44">
      <c r="A44" s="70">
        <f>IF(Assignments!B35="","",30)</f>
        <v/>
      </c>
      <c r="B44" s="71">
        <f>IF(A44="","",Assignments!B35)</f>
        <v/>
      </c>
      <c r="C44" s="71">
        <f>IF(A44="","",Assignments!C35)</f>
        <v/>
      </c>
      <c r="D44" s="72">
        <f>IF(A44="","",Assignments!G35)</f>
        <v/>
      </c>
      <c r="E44" s="70">
        <f>IF(A44="","",Assignments!E35)</f>
        <v/>
      </c>
      <c r="F44" s="70">
        <f>IF(OR(A44="",$H$4=""),"",IF(INDEX(Gradebook!AP$10:AP$49,$H$4)="","",INDEX(Gradebook!AP$10:AP$49,$H$4)))</f>
        <v/>
      </c>
      <c r="G44" s="73">
        <f>IF(OR(NOT(ISNUMBER(F44)),N(E44)=0),"",F44/E44)</f>
        <v/>
      </c>
      <c r="H44" s="70">
        <f>IF(OR(A44="",$H$4=""),"",IF(ISNUMBER(F44),"Turned in",IF(UPPER(F44)="EX","Excused",IF(OR(UPPER(F44)="M",Assignments!I35=1),"Missing","Not due yet"))))</f>
        <v/>
      </c>
    </row>
    <row r="45">
      <c r="A45" s="70">
        <f>IF(Assignments!B36="","",31)</f>
        <v/>
      </c>
      <c r="B45" s="71">
        <f>IF(A45="","",Assignments!B36)</f>
        <v/>
      </c>
      <c r="C45" s="71">
        <f>IF(A45="","",Assignments!C36)</f>
        <v/>
      </c>
      <c r="D45" s="72">
        <f>IF(A45="","",Assignments!G36)</f>
        <v/>
      </c>
      <c r="E45" s="70">
        <f>IF(A45="","",Assignments!E36)</f>
        <v/>
      </c>
      <c r="F45" s="70">
        <f>IF(OR(A45="",$H$4=""),"",IF(INDEX(Gradebook!AQ$10:AQ$49,$H$4)="","",INDEX(Gradebook!AQ$10:AQ$49,$H$4)))</f>
        <v/>
      </c>
      <c r="G45" s="73">
        <f>IF(OR(NOT(ISNUMBER(F45)),N(E45)=0),"",F45/E45)</f>
        <v/>
      </c>
      <c r="H45" s="70">
        <f>IF(OR(A45="",$H$4=""),"",IF(ISNUMBER(F45),"Turned in",IF(UPPER(F45)="EX","Excused",IF(OR(UPPER(F45)="M",Assignments!I36=1),"Missing","Not due yet"))))</f>
        <v/>
      </c>
    </row>
    <row r="46">
      <c r="A46" s="70">
        <f>IF(Assignments!B37="","",32)</f>
        <v/>
      </c>
      <c r="B46" s="71">
        <f>IF(A46="","",Assignments!B37)</f>
        <v/>
      </c>
      <c r="C46" s="71">
        <f>IF(A46="","",Assignments!C37)</f>
        <v/>
      </c>
      <c r="D46" s="72">
        <f>IF(A46="","",Assignments!G37)</f>
        <v/>
      </c>
      <c r="E46" s="70">
        <f>IF(A46="","",Assignments!E37)</f>
        <v/>
      </c>
      <c r="F46" s="70">
        <f>IF(OR(A46="",$H$4=""),"",IF(INDEX(Gradebook!AR$10:AR$49,$H$4)="","",INDEX(Gradebook!AR$10:AR$49,$H$4)))</f>
        <v/>
      </c>
      <c r="G46" s="73">
        <f>IF(OR(NOT(ISNUMBER(F46)),N(E46)=0),"",F46/E46)</f>
        <v/>
      </c>
      <c r="H46" s="70">
        <f>IF(OR(A46="",$H$4=""),"",IF(ISNUMBER(F46),"Turned in",IF(UPPER(F46)="EX","Excused",IF(OR(UPPER(F46)="M",Assignments!I37=1),"Missing","Not due yet"))))</f>
        <v/>
      </c>
    </row>
    <row r="47">
      <c r="A47" s="70">
        <f>IF(Assignments!B38="","",33)</f>
        <v/>
      </c>
      <c r="B47" s="71">
        <f>IF(A47="","",Assignments!B38)</f>
        <v/>
      </c>
      <c r="C47" s="71">
        <f>IF(A47="","",Assignments!C38)</f>
        <v/>
      </c>
      <c r="D47" s="72">
        <f>IF(A47="","",Assignments!G38)</f>
        <v/>
      </c>
      <c r="E47" s="70">
        <f>IF(A47="","",Assignments!E38)</f>
        <v/>
      </c>
      <c r="F47" s="70">
        <f>IF(OR(A47="",$H$4=""),"",IF(INDEX(Gradebook!AS$10:AS$49,$H$4)="","",INDEX(Gradebook!AS$10:AS$49,$H$4)))</f>
        <v/>
      </c>
      <c r="G47" s="73">
        <f>IF(OR(NOT(ISNUMBER(F47)),N(E47)=0),"",F47/E47)</f>
        <v/>
      </c>
      <c r="H47" s="70">
        <f>IF(OR(A47="",$H$4=""),"",IF(ISNUMBER(F47),"Turned in",IF(UPPER(F47)="EX","Excused",IF(OR(UPPER(F47)="M",Assignments!I38=1),"Missing","Not due yet"))))</f>
        <v/>
      </c>
    </row>
    <row r="48">
      <c r="A48" s="70">
        <f>IF(Assignments!B39="","",34)</f>
        <v/>
      </c>
      <c r="B48" s="71">
        <f>IF(A48="","",Assignments!B39)</f>
        <v/>
      </c>
      <c r="C48" s="71">
        <f>IF(A48="","",Assignments!C39)</f>
        <v/>
      </c>
      <c r="D48" s="72">
        <f>IF(A48="","",Assignments!G39)</f>
        <v/>
      </c>
      <c r="E48" s="70">
        <f>IF(A48="","",Assignments!E39)</f>
        <v/>
      </c>
      <c r="F48" s="70">
        <f>IF(OR(A48="",$H$4=""),"",IF(INDEX(Gradebook!AT$10:AT$49,$H$4)="","",INDEX(Gradebook!AT$10:AT$49,$H$4)))</f>
        <v/>
      </c>
      <c r="G48" s="73">
        <f>IF(OR(NOT(ISNUMBER(F48)),N(E48)=0),"",F48/E48)</f>
        <v/>
      </c>
      <c r="H48" s="70">
        <f>IF(OR(A48="",$H$4=""),"",IF(ISNUMBER(F48),"Turned in",IF(UPPER(F48)="EX","Excused",IF(OR(UPPER(F48)="M",Assignments!I39=1),"Missing","Not due yet"))))</f>
        <v/>
      </c>
    </row>
    <row r="49">
      <c r="A49" s="70">
        <f>IF(Assignments!B40="","",35)</f>
        <v/>
      </c>
      <c r="B49" s="71">
        <f>IF(A49="","",Assignments!B40)</f>
        <v/>
      </c>
      <c r="C49" s="71">
        <f>IF(A49="","",Assignments!C40)</f>
        <v/>
      </c>
      <c r="D49" s="72">
        <f>IF(A49="","",Assignments!G40)</f>
        <v/>
      </c>
      <c r="E49" s="70">
        <f>IF(A49="","",Assignments!E40)</f>
        <v/>
      </c>
      <c r="F49" s="70">
        <f>IF(OR(A49="",$H$4=""),"",IF(INDEX(Gradebook!AU$10:AU$49,$H$4)="","",INDEX(Gradebook!AU$10:AU$49,$H$4)))</f>
        <v/>
      </c>
      <c r="G49" s="73">
        <f>IF(OR(NOT(ISNUMBER(F49)),N(E49)=0),"",F49/E49)</f>
        <v/>
      </c>
      <c r="H49" s="70">
        <f>IF(OR(A49="",$H$4=""),"",IF(ISNUMBER(F49),"Turned in",IF(UPPER(F49)="EX","Excused",IF(OR(UPPER(F49)="M",Assignments!I40=1),"Missing","Not due yet"))))</f>
        <v/>
      </c>
    </row>
    <row r="50">
      <c r="A50" s="70">
        <f>IF(Assignments!B41="","",36)</f>
        <v/>
      </c>
      <c r="B50" s="71">
        <f>IF(A50="","",Assignments!B41)</f>
        <v/>
      </c>
      <c r="C50" s="71">
        <f>IF(A50="","",Assignments!C41)</f>
        <v/>
      </c>
      <c r="D50" s="72">
        <f>IF(A50="","",Assignments!G41)</f>
        <v/>
      </c>
      <c r="E50" s="70">
        <f>IF(A50="","",Assignments!E41)</f>
        <v/>
      </c>
      <c r="F50" s="70">
        <f>IF(OR(A50="",$H$4=""),"",IF(INDEX(Gradebook!AV$10:AV$49,$H$4)="","",INDEX(Gradebook!AV$10:AV$49,$H$4)))</f>
        <v/>
      </c>
      <c r="G50" s="73">
        <f>IF(OR(NOT(ISNUMBER(F50)),N(E50)=0),"",F50/E50)</f>
        <v/>
      </c>
      <c r="H50" s="70">
        <f>IF(OR(A50="",$H$4=""),"",IF(ISNUMBER(F50),"Turned in",IF(UPPER(F50)="EX","Excused",IF(OR(UPPER(F50)="M",Assignments!I41=1),"Missing","Not due yet"))))</f>
        <v/>
      </c>
    </row>
    <row r="51">
      <c r="A51" s="70">
        <f>IF(Assignments!B42="","",37)</f>
        <v/>
      </c>
      <c r="B51" s="71">
        <f>IF(A51="","",Assignments!B42)</f>
        <v/>
      </c>
      <c r="C51" s="71">
        <f>IF(A51="","",Assignments!C42)</f>
        <v/>
      </c>
      <c r="D51" s="72">
        <f>IF(A51="","",Assignments!G42)</f>
        <v/>
      </c>
      <c r="E51" s="70">
        <f>IF(A51="","",Assignments!E42)</f>
        <v/>
      </c>
      <c r="F51" s="70">
        <f>IF(OR(A51="",$H$4=""),"",IF(INDEX(Gradebook!AW$10:AW$49,$H$4)="","",INDEX(Gradebook!AW$10:AW$49,$H$4)))</f>
        <v/>
      </c>
      <c r="G51" s="73">
        <f>IF(OR(NOT(ISNUMBER(F51)),N(E51)=0),"",F51/E51)</f>
        <v/>
      </c>
      <c r="H51" s="70">
        <f>IF(OR(A51="",$H$4=""),"",IF(ISNUMBER(F51),"Turned in",IF(UPPER(F51)="EX","Excused",IF(OR(UPPER(F51)="M",Assignments!I42=1),"Missing","Not due yet"))))</f>
        <v/>
      </c>
    </row>
    <row r="52">
      <c r="A52" s="70">
        <f>IF(Assignments!B43="","",38)</f>
        <v/>
      </c>
      <c r="B52" s="71">
        <f>IF(A52="","",Assignments!B43)</f>
        <v/>
      </c>
      <c r="C52" s="71">
        <f>IF(A52="","",Assignments!C43)</f>
        <v/>
      </c>
      <c r="D52" s="72">
        <f>IF(A52="","",Assignments!G43)</f>
        <v/>
      </c>
      <c r="E52" s="70">
        <f>IF(A52="","",Assignments!E43)</f>
        <v/>
      </c>
      <c r="F52" s="70">
        <f>IF(OR(A52="",$H$4=""),"",IF(INDEX(Gradebook!AX$10:AX$49,$H$4)="","",INDEX(Gradebook!AX$10:AX$49,$H$4)))</f>
        <v/>
      </c>
      <c r="G52" s="73">
        <f>IF(OR(NOT(ISNUMBER(F52)),N(E52)=0),"",F52/E52)</f>
        <v/>
      </c>
      <c r="H52" s="70">
        <f>IF(OR(A52="",$H$4=""),"",IF(ISNUMBER(F52),"Turned in",IF(UPPER(F52)="EX","Excused",IF(OR(UPPER(F52)="M",Assignments!I43=1),"Missing","Not due yet"))))</f>
        <v/>
      </c>
    </row>
    <row r="53">
      <c r="A53" s="70">
        <f>IF(Assignments!B44="","",39)</f>
        <v/>
      </c>
      <c r="B53" s="71">
        <f>IF(A53="","",Assignments!B44)</f>
        <v/>
      </c>
      <c r="C53" s="71">
        <f>IF(A53="","",Assignments!C44)</f>
        <v/>
      </c>
      <c r="D53" s="72">
        <f>IF(A53="","",Assignments!G44)</f>
        <v/>
      </c>
      <c r="E53" s="70">
        <f>IF(A53="","",Assignments!E44)</f>
        <v/>
      </c>
      <c r="F53" s="70">
        <f>IF(OR(A53="",$H$4=""),"",IF(INDEX(Gradebook!AY$10:AY$49,$H$4)="","",INDEX(Gradebook!AY$10:AY$49,$H$4)))</f>
        <v/>
      </c>
      <c r="G53" s="73">
        <f>IF(OR(NOT(ISNUMBER(F53)),N(E53)=0),"",F53/E53)</f>
        <v/>
      </c>
      <c r="H53" s="70">
        <f>IF(OR(A53="",$H$4=""),"",IF(ISNUMBER(F53),"Turned in",IF(UPPER(F53)="EX","Excused",IF(OR(UPPER(F53)="M",Assignments!I44=1),"Missing","Not due yet"))))</f>
        <v/>
      </c>
    </row>
    <row r="54">
      <c r="A54" s="70">
        <f>IF(Assignments!B45="","",40)</f>
        <v/>
      </c>
      <c r="B54" s="71">
        <f>IF(A54="","",Assignments!B45)</f>
        <v/>
      </c>
      <c r="C54" s="71">
        <f>IF(A54="","",Assignments!C45)</f>
        <v/>
      </c>
      <c r="D54" s="72">
        <f>IF(A54="","",Assignments!G45)</f>
        <v/>
      </c>
      <c r="E54" s="70">
        <f>IF(A54="","",Assignments!E45)</f>
        <v/>
      </c>
      <c r="F54" s="70">
        <f>IF(OR(A54="",$H$4=""),"",IF(INDEX(Gradebook!AZ$10:AZ$49,$H$4)="","",INDEX(Gradebook!AZ$10:AZ$49,$H$4)))</f>
        <v/>
      </c>
      <c r="G54" s="73">
        <f>IF(OR(NOT(ISNUMBER(F54)),N(E54)=0),"",F54/E54)</f>
        <v/>
      </c>
      <c r="H54" s="70">
        <f>IF(OR(A54="",$H$4=""),"",IF(ISNUMBER(F54),"Turned in",IF(UPPER(F54)="EX","Excused",IF(OR(UPPER(F54)="M",Assignments!I45=1),"Missing","Not due yet"))))</f>
        <v/>
      </c>
    </row>
    <row r="55">
      <c r="A55" s="70">
        <f>IF(Assignments!B46="","",41)</f>
        <v/>
      </c>
      <c r="B55" s="71">
        <f>IF(A55="","",Assignments!B46)</f>
        <v/>
      </c>
      <c r="C55" s="71">
        <f>IF(A55="","",Assignments!C46)</f>
        <v/>
      </c>
      <c r="D55" s="72">
        <f>IF(A55="","",Assignments!G46)</f>
        <v/>
      </c>
      <c r="E55" s="70">
        <f>IF(A55="","",Assignments!E46)</f>
        <v/>
      </c>
      <c r="F55" s="70">
        <f>IF(OR(A55="",$H$4=""),"",IF(INDEX(Gradebook!BA$10:BA$49,$H$4)="","",INDEX(Gradebook!BA$10:BA$49,$H$4)))</f>
        <v/>
      </c>
      <c r="G55" s="73">
        <f>IF(OR(NOT(ISNUMBER(F55)),N(E55)=0),"",F55/E55)</f>
        <v/>
      </c>
      <c r="H55" s="70">
        <f>IF(OR(A55="",$H$4=""),"",IF(ISNUMBER(F55),"Turned in",IF(UPPER(F55)="EX","Excused",IF(OR(UPPER(F55)="M",Assignments!I46=1),"Missing","Not due yet"))))</f>
        <v/>
      </c>
    </row>
    <row r="56">
      <c r="A56" s="70">
        <f>IF(Assignments!B47="","",42)</f>
        <v/>
      </c>
      <c r="B56" s="71">
        <f>IF(A56="","",Assignments!B47)</f>
        <v/>
      </c>
      <c r="C56" s="71">
        <f>IF(A56="","",Assignments!C47)</f>
        <v/>
      </c>
      <c r="D56" s="72">
        <f>IF(A56="","",Assignments!G47)</f>
        <v/>
      </c>
      <c r="E56" s="70">
        <f>IF(A56="","",Assignments!E47)</f>
        <v/>
      </c>
      <c r="F56" s="70">
        <f>IF(OR(A56="",$H$4=""),"",IF(INDEX(Gradebook!BB$10:BB$49,$H$4)="","",INDEX(Gradebook!BB$10:BB$49,$H$4)))</f>
        <v/>
      </c>
      <c r="G56" s="73">
        <f>IF(OR(NOT(ISNUMBER(F56)),N(E56)=0),"",F56/E56)</f>
        <v/>
      </c>
      <c r="H56" s="70">
        <f>IF(OR(A56="",$H$4=""),"",IF(ISNUMBER(F56),"Turned in",IF(UPPER(F56)="EX","Excused",IF(OR(UPPER(F56)="M",Assignments!I47=1),"Missing","Not due yet"))))</f>
        <v/>
      </c>
    </row>
    <row r="57">
      <c r="A57" s="70">
        <f>IF(Assignments!B48="","",43)</f>
        <v/>
      </c>
      <c r="B57" s="71">
        <f>IF(A57="","",Assignments!B48)</f>
        <v/>
      </c>
      <c r="C57" s="71">
        <f>IF(A57="","",Assignments!C48)</f>
        <v/>
      </c>
      <c r="D57" s="72">
        <f>IF(A57="","",Assignments!G48)</f>
        <v/>
      </c>
      <c r="E57" s="70">
        <f>IF(A57="","",Assignments!E48)</f>
        <v/>
      </c>
      <c r="F57" s="70">
        <f>IF(OR(A57="",$H$4=""),"",IF(INDEX(Gradebook!BC$10:BC$49,$H$4)="","",INDEX(Gradebook!BC$10:BC$49,$H$4)))</f>
        <v/>
      </c>
      <c r="G57" s="73">
        <f>IF(OR(NOT(ISNUMBER(F57)),N(E57)=0),"",F57/E57)</f>
        <v/>
      </c>
      <c r="H57" s="70">
        <f>IF(OR(A57="",$H$4=""),"",IF(ISNUMBER(F57),"Turned in",IF(UPPER(F57)="EX","Excused",IF(OR(UPPER(F57)="M",Assignments!I48=1),"Missing","Not due yet"))))</f>
        <v/>
      </c>
    </row>
    <row r="58">
      <c r="A58" s="70">
        <f>IF(Assignments!B49="","",44)</f>
        <v/>
      </c>
      <c r="B58" s="71">
        <f>IF(A58="","",Assignments!B49)</f>
        <v/>
      </c>
      <c r="C58" s="71">
        <f>IF(A58="","",Assignments!C49)</f>
        <v/>
      </c>
      <c r="D58" s="72">
        <f>IF(A58="","",Assignments!G49)</f>
        <v/>
      </c>
      <c r="E58" s="70">
        <f>IF(A58="","",Assignments!E49)</f>
        <v/>
      </c>
      <c r="F58" s="70">
        <f>IF(OR(A58="",$H$4=""),"",IF(INDEX(Gradebook!BD$10:BD$49,$H$4)="","",INDEX(Gradebook!BD$10:BD$49,$H$4)))</f>
        <v/>
      </c>
      <c r="G58" s="73">
        <f>IF(OR(NOT(ISNUMBER(F58)),N(E58)=0),"",F58/E58)</f>
        <v/>
      </c>
      <c r="H58" s="70">
        <f>IF(OR(A58="",$H$4=""),"",IF(ISNUMBER(F58),"Turned in",IF(UPPER(F58)="EX","Excused",IF(OR(UPPER(F58)="M",Assignments!I49=1),"Missing","Not due yet"))))</f>
        <v/>
      </c>
    </row>
    <row r="59">
      <c r="A59" s="70">
        <f>IF(Assignments!B50="","",45)</f>
        <v/>
      </c>
      <c r="B59" s="71">
        <f>IF(A59="","",Assignments!B50)</f>
        <v/>
      </c>
      <c r="C59" s="71">
        <f>IF(A59="","",Assignments!C50)</f>
        <v/>
      </c>
      <c r="D59" s="72">
        <f>IF(A59="","",Assignments!G50)</f>
        <v/>
      </c>
      <c r="E59" s="70">
        <f>IF(A59="","",Assignments!E50)</f>
        <v/>
      </c>
      <c r="F59" s="70">
        <f>IF(OR(A59="",$H$4=""),"",IF(INDEX(Gradebook!BE$10:BE$49,$H$4)="","",INDEX(Gradebook!BE$10:BE$49,$H$4)))</f>
        <v/>
      </c>
      <c r="G59" s="73">
        <f>IF(OR(NOT(ISNUMBER(F59)),N(E59)=0),"",F59/E59)</f>
        <v/>
      </c>
      <c r="H59" s="70">
        <f>IF(OR(A59="",$H$4=""),"",IF(ISNUMBER(F59),"Turned in",IF(UPPER(F59)="EX","Excused",IF(OR(UPPER(F59)="M",Assignments!I50=1),"Missing","Not due yet"))))</f>
        <v/>
      </c>
    </row>
    <row r="60">
      <c r="A60" s="70">
        <f>IF(Assignments!B51="","",46)</f>
        <v/>
      </c>
      <c r="B60" s="71">
        <f>IF(A60="","",Assignments!B51)</f>
        <v/>
      </c>
      <c r="C60" s="71">
        <f>IF(A60="","",Assignments!C51)</f>
        <v/>
      </c>
      <c r="D60" s="72">
        <f>IF(A60="","",Assignments!G51)</f>
        <v/>
      </c>
      <c r="E60" s="70">
        <f>IF(A60="","",Assignments!E51)</f>
        <v/>
      </c>
      <c r="F60" s="70">
        <f>IF(OR(A60="",$H$4=""),"",IF(INDEX(Gradebook!BF$10:BF$49,$H$4)="","",INDEX(Gradebook!BF$10:BF$49,$H$4)))</f>
        <v/>
      </c>
      <c r="G60" s="73">
        <f>IF(OR(NOT(ISNUMBER(F60)),N(E60)=0),"",F60/E60)</f>
        <v/>
      </c>
      <c r="H60" s="70">
        <f>IF(OR(A60="",$H$4=""),"",IF(ISNUMBER(F60),"Turned in",IF(UPPER(F60)="EX","Excused",IF(OR(UPPER(F60)="M",Assignments!I51=1),"Missing","Not due yet"))))</f>
        <v/>
      </c>
    </row>
    <row r="61">
      <c r="A61" s="70">
        <f>IF(Assignments!B52="","",47)</f>
        <v/>
      </c>
      <c r="B61" s="71">
        <f>IF(A61="","",Assignments!B52)</f>
        <v/>
      </c>
      <c r="C61" s="71">
        <f>IF(A61="","",Assignments!C52)</f>
        <v/>
      </c>
      <c r="D61" s="72">
        <f>IF(A61="","",Assignments!G52)</f>
        <v/>
      </c>
      <c r="E61" s="70">
        <f>IF(A61="","",Assignments!E52)</f>
        <v/>
      </c>
      <c r="F61" s="70">
        <f>IF(OR(A61="",$H$4=""),"",IF(INDEX(Gradebook!BG$10:BG$49,$H$4)="","",INDEX(Gradebook!BG$10:BG$49,$H$4)))</f>
        <v/>
      </c>
      <c r="G61" s="73">
        <f>IF(OR(NOT(ISNUMBER(F61)),N(E61)=0),"",F61/E61)</f>
        <v/>
      </c>
      <c r="H61" s="70">
        <f>IF(OR(A61="",$H$4=""),"",IF(ISNUMBER(F61),"Turned in",IF(UPPER(F61)="EX","Excused",IF(OR(UPPER(F61)="M",Assignments!I52=1),"Missing","Not due yet"))))</f>
        <v/>
      </c>
    </row>
    <row r="62">
      <c r="A62" s="70">
        <f>IF(Assignments!B53="","",48)</f>
        <v/>
      </c>
      <c r="B62" s="71">
        <f>IF(A62="","",Assignments!B53)</f>
        <v/>
      </c>
      <c r="C62" s="71">
        <f>IF(A62="","",Assignments!C53)</f>
        <v/>
      </c>
      <c r="D62" s="72">
        <f>IF(A62="","",Assignments!G53)</f>
        <v/>
      </c>
      <c r="E62" s="70">
        <f>IF(A62="","",Assignments!E53)</f>
        <v/>
      </c>
      <c r="F62" s="70">
        <f>IF(OR(A62="",$H$4=""),"",IF(INDEX(Gradebook!BH$10:BH$49,$H$4)="","",INDEX(Gradebook!BH$10:BH$49,$H$4)))</f>
        <v/>
      </c>
      <c r="G62" s="73">
        <f>IF(OR(NOT(ISNUMBER(F62)),N(E62)=0),"",F62/E62)</f>
        <v/>
      </c>
      <c r="H62" s="70">
        <f>IF(OR(A62="",$H$4=""),"",IF(ISNUMBER(F62),"Turned in",IF(UPPER(F62)="EX","Excused",IF(OR(UPPER(F62)="M",Assignments!I53=1),"Missing","Not due yet"))))</f>
        <v/>
      </c>
    </row>
    <row r="63">
      <c r="A63" s="70">
        <f>IF(Assignments!B54="","",49)</f>
        <v/>
      </c>
      <c r="B63" s="71">
        <f>IF(A63="","",Assignments!B54)</f>
        <v/>
      </c>
      <c r="C63" s="71">
        <f>IF(A63="","",Assignments!C54)</f>
        <v/>
      </c>
      <c r="D63" s="72">
        <f>IF(A63="","",Assignments!G54)</f>
        <v/>
      </c>
      <c r="E63" s="70">
        <f>IF(A63="","",Assignments!E54)</f>
        <v/>
      </c>
      <c r="F63" s="70">
        <f>IF(OR(A63="",$H$4=""),"",IF(INDEX(Gradebook!BI$10:BI$49,$H$4)="","",INDEX(Gradebook!BI$10:BI$49,$H$4)))</f>
        <v/>
      </c>
      <c r="G63" s="73">
        <f>IF(OR(NOT(ISNUMBER(F63)),N(E63)=0),"",F63/E63)</f>
        <v/>
      </c>
      <c r="H63" s="70">
        <f>IF(OR(A63="",$H$4=""),"",IF(ISNUMBER(F63),"Turned in",IF(UPPER(F63)="EX","Excused",IF(OR(UPPER(F63)="M",Assignments!I54=1),"Missing","Not due yet"))))</f>
        <v/>
      </c>
    </row>
    <row r="64">
      <c r="A64" s="70">
        <f>IF(Assignments!B55="","",50)</f>
        <v/>
      </c>
      <c r="B64" s="71">
        <f>IF(A64="","",Assignments!B55)</f>
        <v/>
      </c>
      <c r="C64" s="71">
        <f>IF(A64="","",Assignments!C55)</f>
        <v/>
      </c>
      <c r="D64" s="72">
        <f>IF(A64="","",Assignments!G55)</f>
        <v/>
      </c>
      <c r="E64" s="70">
        <f>IF(A64="","",Assignments!E55)</f>
        <v/>
      </c>
      <c r="F64" s="70">
        <f>IF(OR(A64="",$H$4=""),"",IF(INDEX(Gradebook!BJ$10:BJ$49,$H$4)="","",INDEX(Gradebook!BJ$10:BJ$49,$H$4)))</f>
        <v/>
      </c>
      <c r="G64" s="73">
        <f>IF(OR(NOT(ISNUMBER(F64)),N(E64)=0),"",F64/E64)</f>
        <v/>
      </c>
      <c r="H64" s="70">
        <f>IF(OR(A64="",$H$4=""),"",IF(ISNUMBER(F64),"Turned in",IF(UPPER(F64)="EX","Excused",IF(OR(UPPER(F64)="M",Assignments!I55=1),"Missing","Not due yet"))))</f>
        <v/>
      </c>
    </row>
    <row r="65">
      <c r="A65" s="70">
        <f>IF(Assignments!B56="","",51)</f>
        <v/>
      </c>
      <c r="B65" s="71">
        <f>IF(A65="","",Assignments!B56)</f>
        <v/>
      </c>
      <c r="C65" s="71">
        <f>IF(A65="","",Assignments!C56)</f>
        <v/>
      </c>
      <c r="D65" s="72">
        <f>IF(A65="","",Assignments!G56)</f>
        <v/>
      </c>
      <c r="E65" s="70">
        <f>IF(A65="","",Assignments!E56)</f>
        <v/>
      </c>
      <c r="F65" s="70">
        <f>IF(OR(A65="",$H$4=""),"",IF(INDEX(Gradebook!BK$10:BK$49,$H$4)="","",INDEX(Gradebook!BK$10:BK$49,$H$4)))</f>
        <v/>
      </c>
      <c r="G65" s="73">
        <f>IF(OR(NOT(ISNUMBER(F65)),N(E65)=0),"",F65/E65)</f>
        <v/>
      </c>
      <c r="H65" s="70">
        <f>IF(OR(A65="",$H$4=""),"",IF(ISNUMBER(F65),"Turned in",IF(UPPER(F65)="EX","Excused",IF(OR(UPPER(F65)="M",Assignments!I56=1),"Missing","Not due yet"))))</f>
        <v/>
      </c>
    </row>
    <row r="66">
      <c r="A66" s="70">
        <f>IF(Assignments!B57="","",52)</f>
        <v/>
      </c>
      <c r="B66" s="71">
        <f>IF(A66="","",Assignments!B57)</f>
        <v/>
      </c>
      <c r="C66" s="71">
        <f>IF(A66="","",Assignments!C57)</f>
        <v/>
      </c>
      <c r="D66" s="72">
        <f>IF(A66="","",Assignments!G57)</f>
        <v/>
      </c>
      <c r="E66" s="70">
        <f>IF(A66="","",Assignments!E57)</f>
        <v/>
      </c>
      <c r="F66" s="70">
        <f>IF(OR(A66="",$H$4=""),"",IF(INDEX(Gradebook!BL$10:BL$49,$H$4)="","",INDEX(Gradebook!BL$10:BL$49,$H$4)))</f>
        <v/>
      </c>
      <c r="G66" s="73">
        <f>IF(OR(NOT(ISNUMBER(F66)),N(E66)=0),"",F66/E66)</f>
        <v/>
      </c>
      <c r="H66" s="70">
        <f>IF(OR(A66="",$H$4=""),"",IF(ISNUMBER(F66),"Turned in",IF(UPPER(F66)="EX","Excused",IF(OR(UPPER(F66)="M",Assignments!I57=1),"Missing","Not due yet"))))</f>
        <v/>
      </c>
    </row>
    <row r="67">
      <c r="A67" s="70">
        <f>IF(Assignments!B58="","",53)</f>
        <v/>
      </c>
      <c r="B67" s="71">
        <f>IF(A67="","",Assignments!B58)</f>
        <v/>
      </c>
      <c r="C67" s="71">
        <f>IF(A67="","",Assignments!C58)</f>
        <v/>
      </c>
      <c r="D67" s="72">
        <f>IF(A67="","",Assignments!G58)</f>
        <v/>
      </c>
      <c r="E67" s="70">
        <f>IF(A67="","",Assignments!E58)</f>
        <v/>
      </c>
      <c r="F67" s="70">
        <f>IF(OR(A67="",$H$4=""),"",IF(INDEX(Gradebook!BM$10:BM$49,$H$4)="","",INDEX(Gradebook!BM$10:BM$49,$H$4)))</f>
        <v/>
      </c>
      <c r="G67" s="73">
        <f>IF(OR(NOT(ISNUMBER(F67)),N(E67)=0),"",F67/E67)</f>
        <v/>
      </c>
      <c r="H67" s="70">
        <f>IF(OR(A67="",$H$4=""),"",IF(ISNUMBER(F67),"Turned in",IF(UPPER(F67)="EX","Excused",IF(OR(UPPER(F67)="M",Assignments!I58=1),"Missing","Not due yet"))))</f>
        <v/>
      </c>
    </row>
    <row r="68">
      <c r="A68" s="70">
        <f>IF(Assignments!B59="","",54)</f>
        <v/>
      </c>
      <c r="B68" s="71">
        <f>IF(A68="","",Assignments!B59)</f>
        <v/>
      </c>
      <c r="C68" s="71">
        <f>IF(A68="","",Assignments!C59)</f>
        <v/>
      </c>
      <c r="D68" s="72">
        <f>IF(A68="","",Assignments!G59)</f>
        <v/>
      </c>
      <c r="E68" s="70">
        <f>IF(A68="","",Assignments!E59)</f>
        <v/>
      </c>
      <c r="F68" s="70">
        <f>IF(OR(A68="",$H$4=""),"",IF(INDEX(Gradebook!BN$10:BN$49,$H$4)="","",INDEX(Gradebook!BN$10:BN$49,$H$4)))</f>
        <v/>
      </c>
      <c r="G68" s="73">
        <f>IF(OR(NOT(ISNUMBER(F68)),N(E68)=0),"",F68/E68)</f>
        <v/>
      </c>
      <c r="H68" s="70">
        <f>IF(OR(A68="",$H$4=""),"",IF(ISNUMBER(F68),"Turned in",IF(UPPER(F68)="EX","Excused",IF(OR(UPPER(F68)="M",Assignments!I59=1),"Missing","Not due yet"))))</f>
        <v/>
      </c>
    </row>
    <row r="69">
      <c r="A69" s="70">
        <f>IF(Assignments!B60="","",55)</f>
        <v/>
      </c>
      <c r="B69" s="71">
        <f>IF(A69="","",Assignments!B60)</f>
        <v/>
      </c>
      <c r="C69" s="71">
        <f>IF(A69="","",Assignments!C60)</f>
        <v/>
      </c>
      <c r="D69" s="72">
        <f>IF(A69="","",Assignments!G60)</f>
        <v/>
      </c>
      <c r="E69" s="70">
        <f>IF(A69="","",Assignments!E60)</f>
        <v/>
      </c>
      <c r="F69" s="70">
        <f>IF(OR(A69="",$H$4=""),"",IF(INDEX(Gradebook!BO$10:BO$49,$H$4)="","",INDEX(Gradebook!BO$10:BO$49,$H$4)))</f>
        <v/>
      </c>
      <c r="G69" s="73">
        <f>IF(OR(NOT(ISNUMBER(F69)),N(E69)=0),"",F69/E69)</f>
        <v/>
      </c>
      <c r="H69" s="70">
        <f>IF(OR(A69="",$H$4=""),"",IF(ISNUMBER(F69),"Turned in",IF(UPPER(F69)="EX","Excused",IF(OR(UPPER(F69)="M",Assignments!I60=1),"Missing","Not due yet"))))</f>
        <v/>
      </c>
    </row>
    <row r="70">
      <c r="A70" s="70">
        <f>IF(Assignments!B61="","",56)</f>
        <v/>
      </c>
      <c r="B70" s="71">
        <f>IF(A70="","",Assignments!B61)</f>
        <v/>
      </c>
      <c r="C70" s="71">
        <f>IF(A70="","",Assignments!C61)</f>
        <v/>
      </c>
      <c r="D70" s="72">
        <f>IF(A70="","",Assignments!G61)</f>
        <v/>
      </c>
      <c r="E70" s="70">
        <f>IF(A70="","",Assignments!E61)</f>
        <v/>
      </c>
      <c r="F70" s="70">
        <f>IF(OR(A70="",$H$4=""),"",IF(INDEX(Gradebook!BP$10:BP$49,$H$4)="","",INDEX(Gradebook!BP$10:BP$49,$H$4)))</f>
        <v/>
      </c>
      <c r="G70" s="73">
        <f>IF(OR(NOT(ISNUMBER(F70)),N(E70)=0),"",F70/E70)</f>
        <v/>
      </c>
      <c r="H70" s="70">
        <f>IF(OR(A70="",$H$4=""),"",IF(ISNUMBER(F70),"Turned in",IF(UPPER(F70)="EX","Excused",IF(OR(UPPER(F70)="M",Assignments!I61=1),"Missing","Not due yet"))))</f>
        <v/>
      </c>
    </row>
    <row r="71">
      <c r="A71" s="70">
        <f>IF(Assignments!B62="","",57)</f>
        <v/>
      </c>
      <c r="B71" s="71">
        <f>IF(A71="","",Assignments!B62)</f>
        <v/>
      </c>
      <c r="C71" s="71">
        <f>IF(A71="","",Assignments!C62)</f>
        <v/>
      </c>
      <c r="D71" s="72">
        <f>IF(A71="","",Assignments!G62)</f>
        <v/>
      </c>
      <c r="E71" s="70">
        <f>IF(A71="","",Assignments!E62)</f>
        <v/>
      </c>
      <c r="F71" s="70">
        <f>IF(OR(A71="",$H$4=""),"",IF(INDEX(Gradebook!BQ$10:BQ$49,$H$4)="","",INDEX(Gradebook!BQ$10:BQ$49,$H$4)))</f>
        <v/>
      </c>
      <c r="G71" s="73">
        <f>IF(OR(NOT(ISNUMBER(F71)),N(E71)=0),"",F71/E71)</f>
        <v/>
      </c>
      <c r="H71" s="70">
        <f>IF(OR(A71="",$H$4=""),"",IF(ISNUMBER(F71),"Turned in",IF(UPPER(F71)="EX","Excused",IF(OR(UPPER(F71)="M",Assignments!I62=1),"Missing","Not due yet"))))</f>
        <v/>
      </c>
    </row>
    <row r="72">
      <c r="A72" s="70">
        <f>IF(Assignments!B63="","",58)</f>
        <v/>
      </c>
      <c r="B72" s="71">
        <f>IF(A72="","",Assignments!B63)</f>
        <v/>
      </c>
      <c r="C72" s="71">
        <f>IF(A72="","",Assignments!C63)</f>
        <v/>
      </c>
      <c r="D72" s="72">
        <f>IF(A72="","",Assignments!G63)</f>
        <v/>
      </c>
      <c r="E72" s="70">
        <f>IF(A72="","",Assignments!E63)</f>
        <v/>
      </c>
      <c r="F72" s="70">
        <f>IF(OR(A72="",$H$4=""),"",IF(INDEX(Gradebook!BR$10:BR$49,$H$4)="","",INDEX(Gradebook!BR$10:BR$49,$H$4)))</f>
        <v/>
      </c>
      <c r="G72" s="73">
        <f>IF(OR(NOT(ISNUMBER(F72)),N(E72)=0),"",F72/E72)</f>
        <v/>
      </c>
      <c r="H72" s="70">
        <f>IF(OR(A72="",$H$4=""),"",IF(ISNUMBER(F72),"Turned in",IF(UPPER(F72)="EX","Excused",IF(OR(UPPER(F72)="M",Assignments!I63=1),"Missing","Not due yet"))))</f>
        <v/>
      </c>
    </row>
    <row r="73">
      <c r="A73" s="70">
        <f>IF(Assignments!B64="","",59)</f>
        <v/>
      </c>
      <c r="B73" s="71">
        <f>IF(A73="","",Assignments!B64)</f>
        <v/>
      </c>
      <c r="C73" s="71">
        <f>IF(A73="","",Assignments!C64)</f>
        <v/>
      </c>
      <c r="D73" s="72">
        <f>IF(A73="","",Assignments!G64)</f>
        <v/>
      </c>
      <c r="E73" s="70">
        <f>IF(A73="","",Assignments!E64)</f>
        <v/>
      </c>
      <c r="F73" s="70">
        <f>IF(OR(A73="",$H$4=""),"",IF(INDEX(Gradebook!BS$10:BS$49,$H$4)="","",INDEX(Gradebook!BS$10:BS$49,$H$4)))</f>
        <v/>
      </c>
      <c r="G73" s="73">
        <f>IF(OR(NOT(ISNUMBER(F73)),N(E73)=0),"",F73/E73)</f>
        <v/>
      </c>
      <c r="H73" s="70">
        <f>IF(OR(A73="",$H$4=""),"",IF(ISNUMBER(F73),"Turned in",IF(UPPER(F73)="EX","Excused",IF(OR(UPPER(F73)="M",Assignments!I64=1),"Missing","Not due yet"))))</f>
        <v/>
      </c>
    </row>
    <row r="74">
      <c r="A74" s="70">
        <f>IF(Assignments!B65="","",60)</f>
        <v/>
      </c>
      <c r="B74" s="71">
        <f>IF(A74="","",Assignments!B65)</f>
        <v/>
      </c>
      <c r="C74" s="71">
        <f>IF(A74="","",Assignments!C65)</f>
        <v/>
      </c>
      <c r="D74" s="72">
        <f>IF(A74="","",Assignments!G65)</f>
        <v/>
      </c>
      <c r="E74" s="70">
        <f>IF(A74="","",Assignments!E65)</f>
        <v/>
      </c>
      <c r="F74" s="70">
        <f>IF(OR(A74="",$H$4=""),"",IF(INDEX(Gradebook!BT$10:BT$49,$H$4)="","",INDEX(Gradebook!BT$10:BT$49,$H$4)))</f>
        <v/>
      </c>
      <c r="G74" s="73">
        <f>IF(OR(NOT(ISNUMBER(F74)),N(E74)=0),"",F74/E74)</f>
        <v/>
      </c>
      <c r="H74" s="70">
        <f>IF(OR(A74="",$H$4=""),"",IF(ISNUMBER(F74),"Turned in",IF(UPPER(F74)="EX","Excused",IF(OR(UPPER(F74)="M",Assignments!I65=1),"Missing","Not due yet"))))</f>
        <v/>
      </c>
    </row>
  </sheetData>
  <mergeCells count="6">
    <mergeCell ref="C11:E11"/>
    <mergeCell ref="C8:E8"/>
    <mergeCell ref="C9:E9"/>
    <mergeCell ref="C7:E7"/>
    <mergeCell ref="C6:E6"/>
    <mergeCell ref="C10:E10"/>
  </mergeCells>
  <conditionalFormatting sqref="H15:H74">
    <cfRule type="expression" priority="1" dxfId="4">
      <formula>H15="Missing"</formula>
    </cfRule>
    <cfRule type="expression" priority="2" dxfId="5">
      <formula>H15="Not due yet"</formula>
    </cfRule>
  </conditionalFormatting>
  <conditionalFormatting sqref="C11">
    <cfRule type="expression" priority="3" dxfId="0">
      <formula>C11="At risk"</formula>
    </cfRule>
  </conditionalFormatting>
  <dataValidations count="1">
    <dataValidation sqref="B4" showDropDown="0" showInputMessage="0" showErrorMessage="0" allowBlank="1" type="list">
      <formula1>=Roster!$B$6:$B$45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2026-09-27T07:26:36Z</dcterms:created>
  <dcterms:modified xmlns:dcterms="http://purl.org/dc/terms/" xmlns:xsi="http://www.w3.org/2001/XMLSchema-instance" xsi:type="dcterms:W3CDTF">2026-09-27T07:26:36Z</dcterms:modified>
</cp:coreProperties>
</file>